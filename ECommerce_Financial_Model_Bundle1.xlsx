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 Centers" sheetId="3" state="visible" r:id="rId3"/>
    <sheet xmlns:r="http://schemas.openxmlformats.org/officeDocument/2006/relationships" name="P&amp;L Statement" sheetId="4" state="visible" r:id="rId4"/>
    <sheet xmlns:r="http://schemas.openxmlformats.org/officeDocument/2006/relationships" name="Contribution Margin" sheetId="5" state="visible" r:id="rId5"/>
    <sheet xmlns:r="http://schemas.openxmlformats.org/officeDocument/2006/relationships" name="Cash Forecast" sheetId="6" state="visible" r:id="rId6"/>
    <sheet xmlns:r="http://schemas.openxmlformats.org/officeDocument/2006/relationships" name="Control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sz val="10"/>
    </font>
    <font>
      <name val="Arial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i val="1"/>
      <color rgb="00C00000"/>
      <sz val="9"/>
    </font>
    <font>
      <name val="Arial"/>
      <b val="1"/>
      <color rgb="00C00000"/>
      <sz val="9"/>
    </font>
    <font>
      <name val="Arial"/>
      <b val="1"/>
      <color rgb="00FFFFFF"/>
      <sz val="14"/>
    </font>
    <font>
      <name val="Arial"/>
      <i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DFD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0" fillId="4" borderId="0" pivotButton="0" quotePrefix="0" xfId="0"/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2" fillId="0" borderId="1" pivotButton="0" quotePrefix="0" xfId="0"/>
    <xf numFmtId="0" fontId="8" fillId="4" borderId="1" applyAlignment="1" pivotButton="0" quotePrefix="0" xfId="0">
      <alignment horizontal="center"/>
    </xf>
    <xf numFmtId="0" fontId="2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4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/>
    </xf>
    <xf numFmtId="0" fontId="3" fillId="2" borderId="1" pivotButton="0" quotePrefix="0" xfId="0"/>
    <xf numFmtId="0" fontId="0" fillId="2" borderId="1" pivotButton="0" quotePrefix="0" xfId="0"/>
    <xf numFmtId="0" fontId="7" fillId="4" borderId="1" applyAlignment="1" pivotButton="0" quotePrefix="0" xfId="0">
      <alignment horizontal="left" vertical="center" indent="2"/>
    </xf>
    <xf numFmtId="0" fontId="7" fillId="0" borderId="1" applyAlignment="1" pivotButton="0" quotePrefix="0" xfId="0">
      <alignment horizontal="left" vertical="center" indent="2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/>
    </xf>
    <xf numFmtId="164" fontId="5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wrapText="1"/>
    </xf>
    <xf numFmtId="0" fontId="13" fillId="7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left" wrapText="1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900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 ht="42" customHeight="1">
      <c r="A1" s="1" t="inlineStr">
        <is>
          <t>E-COMMERCE FINANCIAL DASHBOARD — Q1 2025</t>
        </is>
      </c>
    </row>
    <row r="2">
      <c r="A2" s="2" t="inlineStr">
        <is>
          <t>EdShop Global Ltd  |  Prepared by HSG AURINKO GmbH  |  Confidential</t>
        </is>
      </c>
    </row>
    <row r="4">
      <c r="A4" s="3" t="inlineStr">
        <is>
          <t>KEY FINANCIAL KPIs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Total Revenue ($)</t>
        </is>
      </c>
      <c r="B6" s="6">
        <f>'P&amp;L Statement'!B11</f>
        <v/>
      </c>
      <c r="C6" s="6">
        <f>'P&amp;L Statement'!C11</f>
        <v/>
      </c>
      <c r="D6" s="6">
        <f>'P&amp;L Statement'!D11</f>
        <v/>
      </c>
      <c r="E6" s="6">
        <f>'P&amp;L Statement'!E11</f>
        <v/>
      </c>
      <c r="F6" s="6">
        <f>'P&amp;L Statement'!F11</f>
        <v/>
      </c>
      <c r="G6" s="6">
        <f>E6-F6</f>
        <v/>
      </c>
      <c r="H6" s="7" t="inlineStr">
        <is>
          <t>✅ On Track</t>
        </is>
      </c>
    </row>
    <row r="7">
      <c r="A7" s="8" t="inlineStr">
        <is>
          <t>Total COGS ($)</t>
        </is>
      </c>
      <c r="B7" s="9">
        <f>'P&amp;L Statement'!B13</f>
        <v/>
      </c>
      <c r="C7" s="9">
        <f>'P&amp;L Statement'!C13</f>
        <v/>
      </c>
      <c r="D7" s="9">
        <f>'P&amp;L Statement'!D13</f>
        <v/>
      </c>
      <c r="E7" s="9">
        <f>'P&amp;L Statement'!E13</f>
        <v/>
      </c>
      <c r="F7" s="9">
        <f>'P&amp;L Statement'!F13</f>
        <v/>
      </c>
      <c r="G7" s="9">
        <f>E7-F7</f>
        <v/>
      </c>
      <c r="H7" s="7" t="inlineStr">
        <is>
          <t>✅ On Track</t>
        </is>
      </c>
    </row>
    <row r="8">
      <c r="A8" s="5" t="inlineStr">
        <is>
          <t>Gross Profit ($)</t>
        </is>
      </c>
      <c r="B8" s="6">
        <f>'P&amp;L Statement'!B14</f>
        <v/>
      </c>
      <c r="C8" s="6">
        <f>'P&amp;L Statement'!C14</f>
        <v/>
      </c>
      <c r="D8" s="6">
        <f>'P&amp;L Statement'!D14</f>
        <v/>
      </c>
      <c r="E8" s="6">
        <f>'P&amp;L Statement'!E14</f>
        <v/>
      </c>
      <c r="F8" s="6">
        <f>'P&amp;L Statement'!F14</f>
        <v/>
      </c>
      <c r="G8" s="6">
        <f>E8-F8</f>
        <v/>
      </c>
      <c r="H8" s="7" t="inlineStr">
        <is>
          <t>✅ On Track</t>
        </is>
      </c>
    </row>
    <row r="9">
      <c r="A9" s="8" t="inlineStr">
        <is>
          <t>Gross Margin %</t>
        </is>
      </c>
      <c r="B9" s="10">
        <f>'P&amp;L Statement'!B15</f>
        <v/>
      </c>
      <c r="C9" s="10">
        <f>'P&amp;L Statement'!C15</f>
        <v/>
      </c>
      <c r="D9" s="10">
        <f>'P&amp;L Statement'!D15</f>
        <v/>
      </c>
      <c r="E9" s="10">
        <f>'P&amp;L Statement'!E15</f>
        <v/>
      </c>
      <c r="F9" s="10">
        <f>'P&amp;L Statement'!F15</f>
        <v/>
      </c>
      <c r="G9" s="10">
        <f>E9-F9</f>
        <v/>
      </c>
      <c r="H9" s="7" t="inlineStr">
        <is>
          <t>✅ On Track</t>
        </is>
      </c>
    </row>
    <row r="10">
      <c r="A10" s="5" t="inlineStr">
        <is>
          <t>Total OpEx ($)</t>
        </is>
      </c>
      <c r="B10" s="6">
        <f>'P&amp;L Statement'!B24</f>
        <v/>
      </c>
      <c r="C10" s="6">
        <f>'P&amp;L Statement'!C24</f>
        <v/>
      </c>
      <c r="D10" s="6">
        <f>'P&amp;L Statement'!D24</f>
        <v/>
      </c>
      <c r="E10" s="6">
        <f>'P&amp;L Statement'!E24</f>
        <v/>
      </c>
      <c r="F10" s="6">
        <f>'P&amp;L Statement'!F24</f>
        <v/>
      </c>
      <c r="G10" s="6">
        <f>E10-F10</f>
        <v/>
      </c>
      <c r="H10" s="7" t="inlineStr">
        <is>
          <t>✅ On Track</t>
        </is>
      </c>
    </row>
    <row r="11">
      <c r="A11" s="8" t="inlineStr">
        <is>
          <t>EBITDA ($)</t>
        </is>
      </c>
      <c r="B11" s="9">
        <f>'P&amp;L Statement'!B25</f>
        <v/>
      </c>
      <c r="C11" s="9">
        <f>'P&amp;L Statement'!C25</f>
        <v/>
      </c>
      <c r="D11" s="9">
        <f>'P&amp;L Statement'!D25</f>
        <v/>
      </c>
      <c r="E11" s="9">
        <f>'P&amp;L Statement'!E25</f>
        <v/>
      </c>
      <c r="F11" s="9">
        <f>'P&amp;L Statement'!F25</f>
        <v/>
      </c>
      <c r="G11" s="9">
        <f>E11-F11</f>
        <v/>
      </c>
      <c r="H11" s="7" t="inlineStr">
        <is>
          <t>✅ On Track</t>
        </is>
      </c>
    </row>
    <row r="12">
      <c r="A12" s="5" t="inlineStr">
        <is>
          <t>EBITDA Margin %</t>
        </is>
      </c>
      <c r="B12" s="11">
        <f>'P&amp;L Statement'!B26</f>
        <v/>
      </c>
      <c r="C12" s="11">
        <f>'P&amp;L Statement'!C26</f>
        <v/>
      </c>
      <c r="D12" s="11">
        <f>'P&amp;L Statement'!D26</f>
        <v/>
      </c>
      <c r="E12" s="11">
        <f>'P&amp;L Statement'!E26</f>
        <v/>
      </c>
      <c r="F12" s="11">
        <f>'P&amp;L Statement'!F26</f>
        <v/>
      </c>
      <c r="G12" s="11">
        <f>E12-F12</f>
        <v/>
      </c>
      <c r="H12" s="7" t="inlineStr">
        <is>
          <t>✅ On Track</t>
        </is>
      </c>
    </row>
    <row r="14">
      <c r="A14" s="3" t="inlineStr">
        <is>
          <t>CONTRIBUTION MARGIN SUMMARY BY PRODUCT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12" t="inlineStr">
        <is>
          <t>Fashion</t>
        </is>
      </c>
      <c r="B16" s="6">
        <f>'Contribution Margin'!B5</f>
        <v/>
      </c>
      <c r="C16" s="6">
        <f>'Contribution Margin'!B7</f>
        <v/>
      </c>
      <c r="D16" s="11">
        <f>'Contribution Margin'!B8</f>
        <v/>
      </c>
      <c r="E16" s="6">
        <f>'Contribution Margin'!B11</f>
        <v/>
      </c>
      <c r="F16" s="11">
        <f>'Contribution Margin'!B12</f>
        <v/>
      </c>
      <c r="G16" s="6">
        <f>'Contribution Margin'!B14</f>
        <v/>
      </c>
      <c r="H16" s="11">
        <f>'Contribution Margin'!B15</f>
        <v/>
      </c>
    </row>
    <row r="17">
      <c r="A17" s="13" t="inlineStr">
        <is>
          <t>Electronics</t>
        </is>
      </c>
      <c r="B17" s="9">
        <f>'Contribution Margin'!C5</f>
        <v/>
      </c>
      <c r="C17" s="9">
        <f>'Contribution Margin'!C7</f>
        <v/>
      </c>
      <c r="D17" s="10">
        <f>'Contribution Margin'!C8</f>
        <v/>
      </c>
      <c r="E17" s="9">
        <f>'Contribution Margin'!C11</f>
        <v/>
      </c>
      <c r="F17" s="10">
        <f>'Contribution Margin'!C12</f>
        <v/>
      </c>
      <c r="G17" s="9">
        <f>'Contribution Margin'!C14</f>
        <v/>
      </c>
      <c r="H17" s="10">
        <f>'Contribution Margin'!C15</f>
        <v/>
      </c>
    </row>
    <row r="18">
      <c r="A18" s="12" t="inlineStr">
        <is>
          <t>Beauty</t>
        </is>
      </c>
      <c r="B18" s="6">
        <f>'Contribution Margin'!D5</f>
        <v/>
      </c>
      <c r="C18" s="6">
        <f>'Contribution Margin'!D7</f>
        <v/>
      </c>
      <c r="D18" s="11">
        <f>'Contribution Margin'!D8</f>
        <v/>
      </c>
      <c r="E18" s="6">
        <f>'Contribution Margin'!D11</f>
        <v/>
      </c>
      <c r="F18" s="11">
        <f>'Contribution Margin'!D12</f>
        <v/>
      </c>
      <c r="G18" s="6">
        <f>'Contribution Margin'!D14</f>
        <v/>
      </c>
      <c r="H18" s="11">
        <f>'Contribution Margin'!D15</f>
        <v/>
      </c>
    </row>
    <row r="19">
      <c r="A19" s="13" t="inlineStr">
        <is>
          <t>Home &amp; Living</t>
        </is>
      </c>
      <c r="B19" s="9">
        <f>'Contribution Margin'!E5</f>
        <v/>
      </c>
      <c r="C19" s="9">
        <f>'Contribution Margin'!E7</f>
        <v/>
      </c>
      <c r="D19" s="10">
        <f>'Contribution Margin'!E8</f>
        <v/>
      </c>
      <c r="E19" s="9">
        <f>'Contribution Margin'!E11</f>
        <v/>
      </c>
      <c r="F19" s="10">
        <f>'Contribution Margin'!E12</f>
        <v/>
      </c>
      <c r="G19" s="9">
        <f>'Contribution Margin'!E14</f>
        <v/>
      </c>
      <c r="H19" s="10">
        <f>'Contribution Margin'!E15</f>
        <v/>
      </c>
    </row>
    <row r="20">
      <c r="A20" s="12" t="inlineStr">
        <is>
          <t>Sports</t>
        </is>
      </c>
      <c r="B20" s="6">
        <f>'Contribution Margin'!F5</f>
        <v/>
      </c>
      <c r="C20" s="6">
        <f>'Contribution Margin'!F7</f>
        <v/>
      </c>
      <c r="D20" s="11">
        <f>'Contribution Margin'!F8</f>
        <v/>
      </c>
      <c r="E20" s="6">
        <f>'Contribution Margin'!F11</f>
        <v/>
      </c>
      <c r="F20" s="11">
        <f>'Contribution Margin'!F12</f>
        <v/>
      </c>
      <c r="G20" s="6">
        <f>'Contribution Margin'!F14</f>
        <v/>
      </c>
      <c r="H20" s="11">
        <f>'Contribution Margin'!F15</f>
        <v/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 ht="38" customHeight="1">
      <c r="A1" s="14" t="inlineStr">
        <is>
          <t>E-COMMERCE FINANCIAL MODEL — ASSUMPTIONS &amp; INPUTS</t>
        </is>
      </c>
    </row>
    <row r="2">
      <c r="A2" s="2" t="inlineStr">
        <is>
          <t>All blue cells are inputs. Black cells are calculated. Change assumptions here — all sheets update automatically.</t>
        </is>
      </c>
    </row>
    <row r="4">
      <c r="A4" s="3" t="inlineStr">
        <is>
          <t>COMPANY INFORMATION</t>
        </is>
      </c>
    </row>
    <row r="5">
      <c r="A5" s="15" t="inlineStr">
        <is>
          <t>Company Name</t>
        </is>
      </c>
      <c r="B5" s="16" t="inlineStr">
        <is>
          <t>EdShop Global Ltd</t>
        </is>
      </c>
    </row>
    <row r="6">
      <c r="A6" s="17" t="inlineStr">
        <is>
          <t>Reporting Currency</t>
        </is>
      </c>
      <c r="B6" s="18" t="inlineStr">
        <is>
          <t>USD ($)</t>
        </is>
      </c>
      <c r="C6" s="19" t="n"/>
      <c r="D6" s="19" t="n"/>
      <c r="E6" s="19" t="n"/>
      <c r="F6" s="19" t="n"/>
    </row>
    <row r="7">
      <c r="A7" s="15" t="inlineStr">
        <is>
          <t>Fiscal Year</t>
        </is>
      </c>
      <c r="B7" s="16" t="inlineStr">
        <is>
          <t>2025</t>
        </is>
      </c>
    </row>
    <row r="8">
      <c r="A8" s="17" t="inlineStr">
        <is>
          <t>Reporting Period</t>
        </is>
      </c>
      <c r="B8" s="18" t="inlineStr">
        <is>
          <t>Q1 2025 (Jan–Mar)</t>
        </is>
      </c>
      <c r="C8" s="19" t="n"/>
      <c r="D8" s="19" t="n"/>
      <c r="E8" s="19" t="n"/>
      <c r="F8" s="19" t="n"/>
    </row>
    <row r="9">
      <c r="A9" s="15" t="inlineStr">
        <is>
          <t>Prepared By</t>
        </is>
      </c>
      <c r="B9" s="16" t="inlineStr">
        <is>
          <t>HSG AURINKO GmbH</t>
        </is>
      </c>
    </row>
    <row r="11">
      <c r="A11" s="3" t="inlineStr">
        <is>
          <t>REVENUE ASSUMPTIONS (Monthly)</t>
        </is>
      </c>
    </row>
    <row r="12">
      <c r="A12" s="4" t="n"/>
      <c r="B12" s="4" t="n"/>
      <c r="C12" s="4" t="n"/>
      <c r="D12" s="4" t="n"/>
      <c r="E12" s="4" t="n"/>
      <c r="F12" s="4" t="n"/>
    </row>
    <row r="13">
      <c r="A13" s="13" t="inlineStr">
        <is>
          <t>Fashion &amp; Apparel</t>
        </is>
      </c>
      <c r="B13" s="20" t="n">
        <v>850</v>
      </c>
      <c r="C13" s="20" t="n">
        <v>920</v>
      </c>
      <c r="D13" s="20" t="n">
        <v>1050</v>
      </c>
      <c r="E13" s="21" t="n">
        <v>65</v>
      </c>
      <c r="F13" s="22" t="n">
        <v>0.08</v>
      </c>
    </row>
    <row r="14">
      <c r="A14" s="12" t="inlineStr">
        <is>
          <t>Electronics &amp; Tech</t>
        </is>
      </c>
      <c r="B14" s="23" t="n">
        <v>420</v>
      </c>
      <c r="C14" s="23" t="n">
        <v>450</v>
      </c>
      <c r="D14" s="23" t="n">
        <v>510</v>
      </c>
      <c r="E14" s="24" t="n">
        <v>180</v>
      </c>
      <c r="F14" s="25" t="n">
        <v>0.06</v>
      </c>
    </row>
    <row r="15">
      <c r="A15" s="13" t="inlineStr">
        <is>
          <t>Beauty &amp; Cosmetics</t>
        </is>
      </c>
      <c r="B15" s="20" t="n">
        <v>630</v>
      </c>
      <c r="C15" s="20" t="n">
        <v>680</v>
      </c>
      <c r="D15" s="20" t="n">
        <v>750</v>
      </c>
      <c r="E15" s="21" t="n">
        <v>45</v>
      </c>
      <c r="F15" s="22" t="n">
        <v>0.1</v>
      </c>
    </row>
    <row r="16">
      <c r="A16" s="12" t="inlineStr">
        <is>
          <t>Home &amp; Living</t>
        </is>
      </c>
      <c r="B16" s="23" t="n">
        <v>380</v>
      </c>
      <c r="C16" s="23" t="n">
        <v>400</v>
      </c>
      <c r="D16" s="23" t="n">
        <v>440</v>
      </c>
      <c r="E16" s="24" t="n">
        <v>85</v>
      </c>
      <c r="F16" s="25" t="n">
        <v>0.07000000000000001</v>
      </c>
    </row>
    <row r="17">
      <c r="A17" s="13" t="inlineStr">
        <is>
          <t>Sports &amp; Outdoors</t>
        </is>
      </c>
      <c r="B17" s="20" t="n">
        <v>290</v>
      </c>
      <c r="C17" s="20" t="n">
        <v>320</v>
      </c>
      <c r="D17" s="20" t="n">
        <v>370</v>
      </c>
      <c r="E17" s="21" t="n">
        <v>95</v>
      </c>
      <c r="F17" s="22" t="n">
        <v>0.09</v>
      </c>
    </row>
    <row r="18">
      <c r="A18" s="26" t="n"/>
      <c r="B18" s="26" t="n"/>
      <c r="C18" s="26" t="n"/>
      <c r="D18" s="26" t="n"/>
      <c r="E18" s="26" t="n"/>
      <c r="F18" s="26" t="n"/>
    </row>
    <row r="19">
      <c r="A19" s="3" t="inlineStr">
        <is>
          <t>COST ASSUMPTIONS</t>
        </is>
      </c>
    </row>
    <row r="20">
      <c r="A20" s="4" t="n"/>
      <c r="B20" s="4" t="n"/>
      <c r="C20" s="4" t="n"/>
      <c r="D20" s="4" t="n"/>
      <c r="E20" s="4" t="n"/>
      <c r="F20" s="4" t="n"/>
    </row>
    <row r="21">
      <c r="A21" s="13" t="inlineStr">
        <is>
          <t>COGS — Fashion</t>
        </is>
      </c>
      <c r="B21" s="27" t="inlineStr">
        <is>
          <t>Variable</t>
        </is>
      </c>
      <c r="C21" s="21" t="n">
        <v>28000</v>
      </c>
      <c r="D21" s="21" t="n">
        <v>30000</v>
      </c>
      <c r="E21" s="21" t="n">
        <v>34000</v>
      </c>
      <c r="F21" s="28" t="inlineStr">
        <is>
          <t>~43% of revenue</t>
        </is>
      </c>
    </row>
    <row r="22">
      <c r="A22" s="12" t="inlineStr">
        <is>
          <t>COGS — Electronics</t>
        </is>
      </c>
      <c r="B22" s="29" t="inlineStr">
        <is>
          <t>Variable</t>
        </is>
      </c>
      <c r="C22" s="24" t="n">
        <v>54000</v>
      </c>
      <c r="D22" s="24" t="n">
        <v>58000</v>
      </c>
      <c r="E22" s="24" t="n">
        <v>66000</v>
      </c>
      <c r="F22" s="30" t="inlineStr">
        <is>
          <t>~67% of revenue</t>
        </is>
      </c>
    </row>
    <row r="23">
      <c r="A23" s="13" t="inlineStr">
        <is>
          <t>COGS — Beauty</t>
        </is>
      </c>
      <c r="B23" s="27" t="inlineStr">
        <is>
          <t>Variable</t>
        </is>
      </c>
      <c r="C23" s="21" t="n">
        <v>12000</v>
      </c>
      <c r="D23" s="21" t="n">
        <v>13000</v>
      </c>
      <c r="E23" s="21" t="n">
        <v>14000</v>
      </c>
      <c r="F23" s="28" t="inlineStr">
        <is>
          <t>~42% of revenue</t>
        </is>
      </c>
    </row>
    <row r="24">
      <c r="A24" s="12" t="inlineStr">
        <is>
          <t>COGS — Home &amp; Living</t>
        </is>
      </c>
      <c r="B24" s="29" t="inlineStr">
        <is>
          <t>Variable</t>
        </is>
      </c>
      <c r="C24" s="24" t="n">
        <v>13000</v>
      </c>
      <c r="D24" s="24" t="n">
        <v>14000</v>
      </c>
      <c r="E24" s="24" t="n">
        <v>15000</v>
      </c>
      <c r="F24" s="30" t="inlineStr">
        <is>
          <t>~45% of revenue</t>
        </is>
      </c>
    </row>
    <row r="25">
      <c r="A25" s="13" t="inlineStr">
        <is>
          <t>COGS — Sports</t>
        </is>
      </c>
      <c r="B25" s="27" t="inlineStr">
        <is>
          <t>Variable</t>
        </is>
      </c>
      <c r="C25" s="21" t="n">
        <v>11000</v>
      </c>
      <c r="D25" s="21" t="n">
        <v>12000</v>
      </c>
      <c r="E25" s="21" t="n">
        <v>14000</v>
      </c>
      <c r="F25" s="28" t="inlineStr">
        <is>
          <t>~40% of revenue</t>
        </is>
      </c>
    </row>
    <row r="26">
      <c r="A26" s="12" t="inlineStr">
        <is>
          <t>Warehouse &amp; Fulfilment</t>
        </is>
      </c>
      <c r="B26" s="29" t="inlineStr">
        <is>
          <t>Semi-Fixed</t>
        </is>
      </c>
      <c r="C26" s="24" t="n">
        <v>18000</v>
      </c>
      <c r="D26" s="24" t="n">
        <v>19000</v>
      </c>
      <c r="E26" s="24" t="n">
        <v>21000</v>
      </c>
      <c r="F26" s="30" t="inlineStr">
        <is>
          <t>Scales with volume</t>
        </is>
      </c>
    </row>
    <row r="27">
      <c r="A27" s="13" t="inlineStr">
        <is>
          <t>Shipping &amp; Returns</t>
        </is>
      </c>
      <c r="B27" s="27" t="inlineStr">
        <is>
          <t>Variable</t>
        </is>
      </c>
      <c r="C27" s="21" t="n">
        <v>14000</v>
      </c>
      <c r="D27" s="21" t="n">
        <v>15000</v>
      </c>
      <c r="E27" s="21" t="n">
        <v>17000</v>
      </c>
      <c r="F27" s="28" t="inlineStr">
        <is>
          <t>Avg $8/order</t>
        </is>
      </c>
    </row>
    <row r="28">
      <c r="A28" s="12" t="inlineStr">
        <is>
          <t>Marketing &amp; Ads</t>
        </is>
      </c>
      <c r="B28" s="29" t="inlineStr">
        <is>
          <t>Variable</t>
        </is>
      </c>
      <c r="C28" s="24" t="n">
        <v>32000</v>
      </c>
      <c r="D28" s="24" t="n">
        <v>35000</v>
      </c>
      <c r="E28" s="24" t="n">
        <v>40000</v>
      </c>
      <c r="F28" s="30" t="inlineStr">
        <is>
          <t>ROAS target 3.5x</t>
        </is>
      </c>
    </row>
    <row r="29">
      <c r="A29" s="13" t="inlineStr">
        <is>
          <t>Platform Fees (Shopify)</t>
        </is>
      </c>
      <c r="B29" s="27" t="inlineStr">
        <is>
          <t>Fixed</t>
        </is>
      </c>
      <c r="C29" s="21" t="n">
        <v>5000</v>
      </c>
      <c r="D29" s="21" t="n">
        <v>5000</v>
      </c>
      <c r="E29" s="21" t="n">
        <v>5000</v>
      </c>
      <c r="F29" s="28" t="inlineStr">
        <is>
          <t>Fixed monthly</t>
        </is>
      </c>
    </row>
    <row r="30">
      <c r="A30" s="12" t="inlineStr">
        <is>
          <t>Salaries</t>
        </is>
      </c>
      <c r="B30" s="29" t="inlineStr">
        <is>
          <t>Fixed</t>
        </is>
      </c>
      <c r="C30" s="24" t="n">
        <v>45000</v>
      </c>
      <c r="D30" s="24" t="n">
        <v>45000</v>
      </c>
      <c r="E30" s="24" t="n">
        <v>50000</v>
      </c>
      <c r="F30" s="30" t="inlineStr">
        <is>
          <t>2 new hires Mar</t>
        </is>
      </c>
    </row>
    <row r="31">
      <c r="A31" s="13" t="inlineStr">
        <is>
          <t>Technology &amp; Software</t>
        </is>
      </c>
      <c r="B31" s="27" t="inlineStr">
        <is>
          <t>Fixed</t>
        </is>
      </c>
      <c r="C31" s="21" t="n">
        <v>8000</v>
      </c>
      <c r="D31" s="21" t="n">
        <v>8000</v>
      </c>
      <c r="E31" s="21" t="n">
        <v>8000</v>
      </c>
      <c r="F31" s="28" t="inlineStr">
        <is>
          <t>Fixed</t>
        </is>
      </c>
    </row>
    <row r="32">
      <c r="A32" s="12" t="inlineStr">
        <is>
          <t>G&amp;A / Admin</t>
        </is>
      </c>
      <c r="B32" s="29" t="inlineStr">
        <is>
          <t>Fixed</t>
        </is>
      </c>
      <c r="C32" s="24" t="n">
        <v>10000</v>
      </c>
      <c r="D32" s="24" t="n">
        <v>10000</v>
      </c>
      <c r="E32" s="24" t="n">
        <v>11000</v>
      </c>
      <c r="F32" s="30" t="inlineStr">
        <is>
          <t>Fixed estimate</t>
        </is>
      </c>
    </row>
  </sheetData>
  <mergeCells count="5">
    <mergeCell ref="A2:F2"/>
    <mergeCell ref="A11:F11"/>
    <mergeCell ref="A19:F19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8" customHeight="1">
      <c r="A1" s="14" t="inlineStr">
        <is>
          <t>COST CENTER OVERVIEW — Q1 2025</t>
        </is>
      </c>
    </row>
    <row r="2">
      <c r="A2" s="2" t="inlineStr">
        <is>
          <t>Data feeds automatically into P&amp;L and Contribution Margin sheets via SUMIF formulas</t>
        </is>
      </c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</row>
    <row r="5">
      <c r="A5" s="13" t="inlineStr">
        <is>
          <t>Fashion &amp; Apparel Revenue</t>
        </is>
      </c>
      <c r="B5" s="32" t="inlineStr">
        <is>
          <t>KST-100</t>
        </is>
      </c>
      <c r="C5" s="33" t="inlineStr">
        <is>
          <t>Revenue</t>
        </is>
      </c>
      <c r="D5" s="9">
        <f>Assumptions!B13*Assumptions!E13</f>
        <v/>
      </c>
      <c r="E5" s="9">
        <f>Assumptions!C13*Assumptions!E13</f>
        <v/>
      </c>
      <c r="F5" s="9">
        <f>Assumptions!D13*Assumptions!E13</f>
        <v/>
      </c>
      <c r="G5" s="34">
        <f>D5+E5+F5</f>
        <v/>
      </c>
      <c r="H5" s="21" t="n">
        <v>270000</v>
      </c>
      <c r="I5" s="9">
        <f>G5-H5</f>
        <v/>
      </c>
    </row>
    <row r="6">
      <c r="A6" s="12" t="inlineStr">
        <is>
          <t>Electronics Revenue</t>
        </is>
      </c>
      <c r="B6" s="35" t="inlineStr">
        <is>
          <t>KST-110</t>
        </is>
      </c>
      <c r="C6" s="33" t="inlineStr">
        <is>
          <t>Revenue</t>
        </is>
      </c>
      <c r="D6" s="9">
        <f>Assumptions!B14*Assumptions!E14</f>
        <v/>
      </c>
      <c r="E6" s="9">
        <f>Assumptions!C14*Assumptions!E14</f>
        <v/>
      </c>
      <c r="F6" s="9">
        <f>Assumptions!D14*Assumptions!E14</f>
        <v/>
      </c>
      <c r="G6" s="34">
        <f>D6+E6+F6</f>
        <v/>
      </c>
      <c r="H6" s="21" t="n">
        <v>240000</v>
      </c>
      <c r="I6" s="9">
        <f>G6-H6</f>
        <v/>
      </c>
    </row>
    <row r="7">
      <c r="A7" s="13" t="inlineStr">
        <is>
          <t>Beauty &amp; Cosmetics Revenue</t>
        </is>
      </c>
      <c r="B7" s="32" t="inlineStr">
        <is>
          <t>KST-120</t>
        </is>
      </c>
      <c r="C7" s="33" t="inlineStr">
        <is>
          <t>Revenue</t>
        </is>
      </c>
      <c r="D7" s="9">
        <f>Assumptions!B15*Assumptions!E15</f>
        <v/>
      </c>
      <c r="E7" s="9">
        <f>Assumptions!C15*Assumptions!E15</f>
        <v/>
      </c>
      <c r="F7" s="9">
        <f>Assumptions!D15*Assumptions!E15</f>
        <v/>
      </c>
      <c r="G7" s="34">
        <f>D7+E7+F7</f>
        <v/>
      </c>
      <c r="H7" s="21" t="n">
        <v>130000</v>
      </c>
      <c r="I7" s="9">
        <f>G7-H7</f>
        <v/>
      </c>
    </row>
    <row r="8">
      <c r="A8" s="12" t="inlineStr">
        <is>
          <t>Home &amp; Living Revenue</t>
        </is>
      </c>
      <c r="B8" s="35" t="inlineStr">
        <is>
          <t>KST-130</t>
        </is>
      </c>
      <c r="C8" s="33" t="inlineStr">
        <is>
          <t>Revenue</t>
        </is>
      </c>
      <c r="D8" s="9">
        <f>Assumptions!B16*Assumptions!E16</f>
        <v/>
      </c>
      <c r="E8" s="9">
        <f>Assumptions!C16*Assumptions!E16</f>
        <v/>
      </c>
      <c r="F8" s="9">
        <f>Assumptions!D16*Assumptions!E16</f>
        <v/>
      </c>
      <c r="G8" s="34">
        <f>D8+E8+F8</f>
        <v/>
      </c>
      <c r="H8" s="21" t="n">
        <v>100000</v>
      </c>
      <c r="I8" s="9">
        <f>G8-H8</f>
        <v/>
      </c>
    </row>
    <row r="9">
      <c r="A9" s="13" t="inlineStr">
        <is>
          <t>Sports &amp; Outdoors Revenue</t>
        </is>
      </c>
      <c r="B9" s="32" t="inlineStr">
        <is>
          <t>KST-140</t>
        </is>
      </c>
      <c r="C9" s="33" t="inlineStr">
        <is>
          <t>Revenue</t>
        </is>
      </c>
      <c r="D9" s="9">
        <f>Assumptions!B17*Assumptions!E17</f>
        <v/>
      </c>
      <c r="E9" s="9">
        <f>Assumptions!C17*Assumptions!E17</f>
        <v/>
      </c>
      <c r="F9" s="9">
        <f>Assumptions!D17*Assumptions!E17</f>
        <v/>
      </c>
      <c r="G9" s="34">
        <f>D9+E9+F9</f>
        <v/>
      </c>
      <c r="H9" s="21" t="n">
        <v>85000</v>
      </c>
      <c r="I9" s="9">
        <f>G9-H9</f>
        <v/>
      </c>
    </row>
    <row r="10">
      <c r="A10" s="12" t="inlineStr">
        <is>
          <t>COGS — Fashion</t>
        </is>
      </c>
      <c r="B10" s="35" t="inlineStr">
        <is>
          <t>KST-200</t>
        </is>
      </c>
      <c r="C10" s="36" t="inlineStr">
        <is>
          <t>COGS</t>
        </is>
      </c>
      <c r="D10" s="9">
        <f>Assumptions!C21</f>
        <v/>
      </c>
      <c r="E10" s="9">
        <f>Assumptions!D21</f>
        <v/>
      </c>
      <c r="F10" s="9">
        <f>Assumptions!E21</f>
        <v/>
      </c>
      <c r="G10" s="34">
        <f>D10+E10+F10</f>
        <v/>
      </c>
      <c r="H10" s="21" t="n">
        <v>94000</v>
      </c>
      <c r="I10" s="9">
        <f>G10-H10</f>
        <v/>
      </c>
    </row>
    <row r="11">
      <c r="A11" s="13" t="inlineStr">
        <is>
          <t>COGS — Electronics</t>
        </is>
      </c>
      <c r="B11" s="32" t="inlineStr">
        <is>
          <t>KST-210</t>
        </is>
      </c>
      <c r="C11" s="36" t="inlineStr">
        <is>
          <t>COGS</t>
        </is>
      </c>
      <c r="D11" s="9">
        <f>Assumptions!C22</f>
        <v/>
      </c>
      <c r="E11" s="9">
        <f>Assumptions!D22</f>
        <v/>
      </c>
      <c r="F11" s="9">
        <f>Assumptions!E22</f>
        <v/>
      </c>
      <c r="G11" s="34">
        <f>D11+E11+F11</f>
        <v/>
      </c>
      <c r="H11" s="21" t="n">
        <v>184000</v>
      </c>
      <c r="I11" s="9">
        <f>G11-H11</f>
        <v/>
      </c>
    </row>
    <row r="12">
      <c r="A12" s="12" t="inlineStr">
        <is>
          <t>COGS — Beauty</t>
        </is>
      </c>
      <c r="B12" s="35" t="inlineStr">
        <is>
          <t>KST-220</t>
        </is>
      </c>
      <c r="C12" s="36" t="inlineStr">
        <is>
          <t>COGS</t>
        </is>
      </c>
      <c r="D12" s="9">
        <f>Assumptions!C23</f>
        <v/>
      </c>
      <c r="E12" s="9">
        <f>Assumptions!D23</f>
        <v/>
      </c>
      <c r="F12" s="9">
        <f>Assumptions!E23</f>
        <v/>
      </c>
      <c r="G12" s="34">
        <f>D12+E12+F12</f>
        <v/>
      </c>
      <c r="H12" s="21" t="n">
        <v>40000</v>
      </c>
      <c r="I12" s="9">
        <f>G12-H12</f>
        <v/>
      </c>
    </row>
    <row r="13">
      <c r="A13" s="13" t="inlineStr">
        <is>
          <t>COGS — Home &amp; Living</t>
        </is>
      </c>
      <c r="B13" s="32" t="inlineStr">
        <is>
          <t>KST-230</t>
        </is>
      </c>
      <c r="C13" s="36" t="inlineStr">
        <is>
          <t>COGS</t>
        </is>
      </c>
      <c r="D13" s="9">
        <f>Assumptions!C24</f>
        <v/>
      </c>
      <c r="E13" s="9">
        <f>Assumptions!D24</f>
        <v/>
      </c>
      <c r="F13" s="9">
        <f>Assumptions!E24</f>
        <v/>
      </c>
      <c r="G13" s="34">
        <f>D13+E13+F13</f>
        <v/>
      </c>
      <c r="H13" s="21" t="n">
        <v>43000</v>
      </c>
      <c r="I13" s="9">
        <f>G13-H13</f>
        <v/>
      </c>
    </row>
    <row r="14">
      <c r="A14" s="12" t="inlineStr">
        <is>
          <t>COGS — Sports</t>
        </is>
      </c>
      <c r="B14" s="35" t="inlineStr">
        <is>
          <t>KST-240</t>
        </is>
      </c>
      <c r="C14" s="36" t="inlineStr">
        <is>
          <t>COGS</t>
        </is>
      </c>
      <c r="D14" s="9">
        <f>Assumptions!C25</f>
        <v/>
      </c>
      <c r="E14" s="9">
        <f>Assumptions!D25</f>
        <v/>
      </c>
      <c r="F14" s="9">
        <f>Assumptions!E25</f>
        <v/>
      </c>
      <c r="G14" s="34">
        <f>D14+E14+F14</f>
        <v/>
      </c>
      <c r="H14" s="21" t="n">
        <v>38000</v>
      </c>
      <c r="I14" s="9">
        <f>G14-H14</f>
        <v/>
      </c>
    </row>
    <row r="15">
      <c r="A15" s="13" t="inlineStr">
        <is>
          <t>Warehouse &amp; Fulfilment</t>
        </is>
      </c>
      <c r="B15" s="32" t="inlineStr">
        <is>
          <t>KST-300</t>
        </is>
      </c>
      <c r="C15" s="37" t="inlineStr">
        <is>
          <t>OpEx</t>
        </is>
      </c>
      <c r="D15" s="9">
        <f>Assumptions!C26</f>
        <v/>
      </c>
      <c r="E15" s="9">
        <f>Assumptions!D26</f>
        <v/>
      </c>
      <c r="F15" s="9">
        <f>Assumptions!E26</f>
        <v/>
      </c>
      <c r="G15" s="34">
        <f>D15+E15+F15</f>
        <v/>
      </c>
      <c r="H15" s="21" t="n">
        <v>58000</v>
      </c>
      <c r="I15" s="9">
        <f>G15-H15</f>
        <v/>
      </c>
    </row>
    <row r="16">
      <c r="A16" s="12" t="inlineStr">
        <is>
          <t>Shipping &amp; Returns</t>
        </is>
      </c>
      <c r="B16" s="35" t="inlineStr">
        <is>
          <t>KST-310</t>
        </is>
      </c>
      <c r="C16" s="37" t="inlineStr">
        <is>
          <t>OpEx</t>
        </is>
      </c>
      <c r="D16" s="9">
        <f>Assumptions!C27</f>
        <v/>
      </c>
      <c r="E16" s="9">
        <f>Assumptions!D27</f>
        <v/>
      </c>
      <c r="F16" s="9">
        <f>Assumptions!E27</f>
        <v/>
      </c>
      <c r="G16" s="34">
        <f>D16+E16+F16</f>
        <v/>
      </c>
      <c r="H16" s="21" t="n">
        <v>47000</v>
      </c>
      <c r="I16" s="9">
        <f>G16-H16</f>
        <v/>
      </c>
    </row>
    <row r="17">
      <c r="A17" s="13" t="inlineStr">
        <is>
          <t>Marketing &amp; Ads</t>
        </is>
      </c>
      <c r="B17" s="32" t="inlineStr">
        <is>
          <t>KST-320</t>
        </is>
      </c>
      <c r="C17" s="37" t="inlineStr">
        <is>
          <t>OpEx</t>
        </is>
      </c>
      <c r="D17" s="9">
        <f>Assumptions!C28</f>
        <v/>
      </c>
      <c r="E17" s="9">
        <f>Assumptions!D28</f>
        <v/>
      </c>
      <c r="F17" s="9">
        <f>Assumptions!E28</f>
        <v/>
      </c>
      <c r="G17" s="34">
        <f>D17+E17+F17</f>
        <v/>
      </c>
      <c r="H17" s="21" t="n">
        <v>110000</v>
      </c>
      <c r="I17" s="9">
        <f>G17-H17</f>
        <v/>
      </c>
    </row>
    <row r="18">
      <c r="A18" s="12" t="inlineStr">
        <is>
          <t>Platform Fees</t>
        </is>
      </c>
      <c r="B18" s="35" t="inlineStr">
        <is>
          <t>KST-330</t>
        </is>
      </c>
      <c r="C18" s="37" t="inlineStr">
        <is>
          <t>OpEx</t>
        </is>
      </c>
      <c r="D18" s="9">
        <f>Assumptions!C29</f>
        <v/>
      </c>
      <c r="E18" s="9">
        <f>Assumptions!D29</f>
        <v/>
      </c>
      <c r="F18" s="9">
        <f>Assumptions!E29</f>
        <v/>
      </c>
      <c r="G18" s="34">
        <f>D18+E18+F18</f>
        <v/>
      </c>
      <c r="H18" s="21" t="n">
        <v>15000</v>
      </c>
      <c r="I18" s="9">
        <f>G18-H18</f>
        <v/>
      </c>
    </row>
    <row r="19">
      <c r="A19" s="13" t="inlineStr">
        <is>
          <t>Salaries</t>
        </is>
      </c>
      <c r="B19" s="32" t="inlineStr">
        <is>
          <t>KST-400</t>
        </is>
      </c>
      <c r="C19" s="37" t="inlineStr">
        <is>
          <t>OpEx</t>
        </is>
      </c>
      <c r="D19" s="9">
        <f>Assumptions!C30</f>
        <v/>
      </c>
      <c r="E19" s="9">
        <f>Assumptions!D30</f>
        <v/>
      </c>
      <c r="F19" s="9">
        <f>Assumptions!E30</f>
        <v/>
      </c>
      <c r="G19" s="34">
        <f>D19+E19+F19</f>
        <v/>
      </c>
      <c r="H19" s="21" t="n">
        <v>140000</v>
      </c>
      <c r="I19" s="9">
        <f>G19-H19</f>
        <v/>
      </c>
    </row>
    <row r="20">
      <c r="A20" s="12" t="inlineStr">
        <is>
          <t>Technology &amp; Software</t>
        </is>
      </c>
      <c r="B20" s="35" t="inlineStr">
        <is>
          <t>KST-410</t>
        </is>
      </c>
      <c r="C20" s="37" t="inlineStr">
        <is>
          <t>OpEx</t>
        </is>
      </c>
      <c r="D20" s="9">
        <f>Assumptions!C31</f>
        <v/>
      </c>
      <c r="E20" s="9">
        <f>Assumptions!D31</f>
        <v/>
      </c>
      <c r="F20" s="9">
        <f>Assumptions!E31</f>
        <v/>
      </c>
      <c r="G20" s="34">
        <f>D20+E20+F20</f>
        <v/>
      </c>
      <c r="H20" s="21" t="n">
        <v>24000</v>
      </c>
      <c r="I20" s="9">
        <f>G20-H20</f>
        <v/>
      </c>
    </row>
    <row r="21">
      <c r="A21" s="13" t="inlineStr">
        <is>
          <t>G&amp;A / Admin</t>
        </is>
      </c>
      <c r="B21" s="32" t="inlineStr">
        <is>
          <t>KST-420</t>
        </is>
      </c>
      <c r="C21" s="37" t="inlineStr">
        <is>
          <t>OpEx</t>
        </is>
      </c>
      <c r="D21" s="9">
        <f>Assumptions!C32</f>
        <v/>
      </c>
      <c r="E21" s="9">
        <f>Assumptions!D32</f>
        <v/>
      </c>
      <c r="F21" s="9">
        <f>Assumptions!E32</f>
        <v/>
      </c>
      <c r="G21" s="34">
        <f>D21+E21+F21</f>
        <v/>
      </c>
      <c r="H21" s="21" t="n">
        <v>31000</v>
      </c>
      <c r="I21" s="9">
        <f>G21-H21</f>
        <v/>
      </c>
    </row>
    <row r="22">
      <c r="A22" s="38" t="inlineStr">
        <is>
          <t>GRAND TOTAL</t>
        </is>
      </c>
      <c r="B22" s="26" t="n"/>
      <c r="C22" s="26" t="n"/>
      <c r="D22" s="39">
        <f>SUM(D5:D21)</f>
        <v/>
      </c>
      <c r="E22" s="39">
        <f>SUM(E5:E21)</f>
        <v/>
      </c>
      <c r="F22" s="39">
        <f>SUM(F5:F21)</f>
        <v/>
      </c>
      <c r="G22" s="39">
        <f>SUM(G5:G21)</f>
        <v/>
      </c>
      <c r="H22" s="39">
        <f>SUM(H5:H21)</f>
        <v/>
      </c>
      <c r="I22" s="39">
        <f>SUM(I5:I21)</f>
        <v/>
      </c>
    </row>
  </sheetData>
  <mergeCells count="3">
    <mergeCell ref="A1:I1"/>
    <mergeCell ref="A2:I2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 ht="38" customHeight="1">
      <c r="A1" s="14" t="inlineStr">
        <is>
          <t>PROFIT &amp; LOSS STATEMENT — Q1 2025</t>
        </is>
      </c>
    </row>
    <row r="2">
      <c r="A2" s="2" t="inlineStr">
        <is>
          <t>Aggregated from Cost Centers via SUMIF | Blue = Input | Black = Formula</t>
        </is>
      </c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</row>
    <row r="5">
      <c r="A5" s="40" t="inlineStr">
        <is>
          <t>REVENUE</t>
        </is>
      </c>
      <c r="B5" s="41" t="n"/>
      <c r="C5" s="41" t="n"/>
      <c r="D5" s="41" t="n"/>
      <c r="E5" s="41" t="n"/>
      <c r="F5" s="41" t="n"/>
      <c r="G5" s="41" t="n"/>
      <c r="H5" s="41" t="n"/>
    </row>
    <row r="6">
      <c r="A6" s="42" t="inlineStr">
        <is>
          <t>Fashion &amp; Apparel</t>
        </is>
      </c>
      <c r="B6" s="6">
        <f>'Cost Centers'!D5</f>
        <v/>
      </c>
      <c r="C6" s="6">
        <f>'Cost Centers'!E5</f>
        <v/>
      </c>
      <c r="D6" s="6">
        <f>'Cost Centers'!F5</f>
        <v/>
      </c>
      <c r="E6" s="6">
        <f>B6+C6+D6</f>
        <v/>
      </c>
      <c r="F6" s="24" t="n">
        <v>270000</v>
      </c>
      <c r="G6" s="6">
        <f>E6-F6</f>
        <v/>
      </c>
      <c r="H6" s="11">
        <f>IF(F6&lt;&gt;0,G6/F6,0)</f>
        <v/>
      </c>
    </row>
    <row r="7">
      <c r="A7" s="43" t="inlineStr">
        <is>
          <t>Electronics &amp; Tech</t>
        </is>
      </c>
      <c r="B7" s="9">
        <f>'Cost Centers'!D6</f>
        <v/>
      </c>
      <c r="C7" s="9">
        <f>'Cost Centers'!E6</f>
        <v/>
      </c>
      <c r="D7" s="9">
        <f>'Cost Centers'!F6</f>
        <v/>
      </c>
      <c r="E7" s="9">
        <f>B7+C7+D7</f>
        <v/>
      </c>
      <c r="F7" s="21" t="n">
        <v>240000</v>
      </c>
      <c r="G7" s="9">
        <f>E7-F7</f>
        <v/>
      </c>
      <c r="H7" s="10">
        <f>IF(F7&lt;&gt;0,G7/F7,0)</f>
        <v/>
      </c>
    </row>
    <row r="8">
      <c r="A8" s="42" t="inlineStr">
        <is>
          <t>Beauty &amp; Cosmetics</t>
        </is>
      </c>
      <c r="B8" s="6">
        <f>'Cost Centers'!D7</f>
        <v/>
      </c>
      <c r="C8" s="6">
        <f>'Cost Centers'!E7</f>
        <v/>
      </c>
      <c r="D8" s="6">
        <f>'Cost Centers'!F7</f>
        <v/>
      </c>
      <c r="E8" s="6">
        <f>B8+C8+D8</f>
        <v/>
      </c>
      <c r="F8" s="24" t="n">
        <v>130000</v>
      </c>
      <c r="G8" s="6">
        <f>E8-F8</f>
        <v/>
      </c>
      <c r="H8" s="11">
        <f>IF(F8&lt;&gt;0,G8/F8,0)</f>
        <v/>
      </c>
    </row>
    <row r="9">
      <c r="A9" s="43" t="inlineStr">
        <is>
          <t>Home &amp; Living</t>
        </is>
      </c>
      <c r="B9" s="9">
        <f>'Cost Centers'!D8</f>
        <v/>
      </c>
      <c r="C9" s="9">
        <f>'Cost Centers'!E8</f>
        <v/>
      </c>
      <c r="D9" s="9">
        <f>'Cost Centers'!F8</f>
        <v/>
      </c>
      <c r="E9" s="9">
        <f>B9+C9+D9</f>
        <v/>
      </c>
      <c r="F9" s="21" t="n">
        <v>100000</v>
      </c>
      <c r="G9" s="9">
        <f>E9-F9</f>
        <v/>
      </c>
      <c r="H9" s="10">
        <f>IF(F9&lt;&gt;0,G9/F9,0)</f>
        <v/>
      </c>
    </row>
    <row r="10">
      <c r="A10" s="42" t="inlineStr">
        <is>
          <t>Sports &amp; Outdoors</t>
        </is>
      </c>
      <c r="B10" s="6">
        <f>'Cost Centers'!D9</f>
        <v/>
      </c>
      <c r="C10" s="6">
        <f>'Cost Centers'!E9</f>
        <v/>
      </c>
      <c r="D10" s="6">
        <f>'Cost Centers'!F9</f>
        <v/>
      </c>
      <c r="E10" s="6">
        <f>B10+C10+D10</f>
        <v/>
      </c>
      <c r="F10" s="24" t="n">
        <v>85000</v>
      </c>
      <c r="G10" s="6">
        <f>E10-F10</f>
        <v/>
      </c>
      <c r="H10" s="11">
        <f>IF(F10&lt;&gt;0,G10/F10,0)</f>
        <v/>
      </c>
    </row>
    <row r="11">
      <c r="A11" s="44" t="inlineStr">
        <is>
          <t>Total Revenue</t>
        </is>
      </c>
      <c r="B11" s="45">
        <f>SUMIF('Cost Centers'!C5:C21,"Revenue",'Cost Centers'!D5:D21)</f>
        <v/>
      </c>
      <c r="C11" s="45">
        <f>SUMIF('Cost Centers'!C5:C21,"Revenue",'Cost Centers'!E5:E21)</f>
        <v/>
      </c>
      <c r="D11" s="45">
        <f>SUMIF('Cost Centers'!C5:C21,"Revenue",'Cost Centers'!F5:F21)</f>
        <v/>
      </c>
      <c r="E11" s="45">
        <f>B11+C11+D11</f>
        <v/>
      </c>
      <c r="F11" s="21" t="n">
        <v>825000</v>
      </c>
      <c r="G11" s="46">
        <f>E11-F11</f>
        <v/>
      </c>
      <c r="H11" s="47">
        <f>IF(F11&lt;&gt;0,G11/F11,0)</f>
        <v/>
      </c>
    </row>
    <row r="12">
      <c r="A12" s="40" t="inlineStr">
        <is>
          <t>COST OF GOODS SOLD</t>
        </is>
      </c>
      <c r="B12" s="41" t="n"/>
      <c r="C12" s="41" t="n"/>
      <c r="D12" s="41" t="n"/>
      <c r="E12" s="41" t="n"/>
      <c r="F12" s="41" t="n"/>
      <c r="G12" s="41" t="n"/>
      <c r="H12" s="41" t="n"/>
    </row>
    <row r="13">
      <c r="A13" s="44" t="inlineStr">
        <is>
          <t>Total COGS</t>
        </is>
      </c>
      <c r="B13" s="45">
        <f>SUMIF('Cost Centers'!C5:C21,"COGS",'Cost Centers'!D5:D21)</f>
        <v/>
      </c>
      <c r="C13" s="45">
        <f>SUMIF('Cost Centers'!C5:C21,"COGS",'Cost Centers'!E5:E21)</f>
        <v/>
      </c>
      <c r="D13" s="45">
        <f>SUMIF('Cost Centers'!C5:C21,"COGS",'Cost Centers'!F5:F21)</f>
        <v/>
      </c>
      <c r="E13" s="45">
        <f>B13+C13+D13</f>
        <v/>
      </c>
      <c r="F13" s="21" t="n">
        <v>399000</v>
      </c>
      <c r="G13" s="46">
        <f>E13-F13</f>
        <v/>
      </c>
      <c r="H13" s="47">
        <f>IF(F13&lt;&gt;0,G13/F13,0)</f>
        <v/>
      </c>
    </row>
    <row r="14">
      <c r="A14" s="48" t="inlineStr">
        <is>
          <t>GROSS PROFIT</t>
        </is>
      </c>
      <c r="B14" s="49">
        <f>B11-B13</f>
        <v/>
      </c>
      <c r="C14" s="49">
        <f>C11-C13</f>
        <v/>
      </c>
      <c r="D14" s="49">
        <f>D11-D13</f>
        <v/>
      </c>
      <c r="E14" s="49">
        <f>B14+C14+D14</f>
        <v/>
      </c>
      <c r="F14" s="21" t="n">
        <v>426000</v>
      </c>
      <c r="G14" s="50">
        <f>E14-F14</f>
        <v/>
      </c>
      <c r="H14" s="51">
        <f>IF(F14&lt;&gt;0,G14/F14,0)</f>
        <v/>
      </c>
    </row>
    <row r="15">
      <c r="A15" s="48" t="inlineStr">
        <is>
          <t>Gross Margin %</t>
        </is>
      </c>
      <c r="B15" s="52">
        <f>IF(B11&lt;&gt;0,B14/B11,0)</f>
        <v/>
      </c>
      <c r="C15" s="52">
        <f>IF(C11&lt;&gt;0,C14/C11,0)</f>
        <v/>
      </c>
      <c r="D15" s="52">
        <f>IF(D11&lt;&gt;0,D14/D11,0)</f>
        <v/>
      </c>
      <c r="E15" s="52">
        <f>IF(E11&lt;&gt;0,E15/E11,0)</f>
        <v/>
      </c>
      <c r="F15" s="26" t="n"/>
      <c r="G15" s="53" t="inlineStr"/>
      <c r="H15" s="51" t="inlineStr"/>
    </row>
    <row r="16">
      <c r="A16" s="40" t="inlineStr">
        <is>
          <t>OPERATING EXPENSES</t>
        </is>
      </c>
      <c r="B16" s="41" t="n"/>
      <c r="C16" s="41" t="n"/>
      <c r="D16" s="41" t="n"/>
      <c r="E16" s="41" t="n"/>
      <c r="F16" s="41" t="n"/>
      <c r="G16" s="41" t="n"/>
      <c r="H16" s="41" t="n"/>
    </row>
    <row r="17">
      <c r="A17" s="43" t="inlineStr">
        <is>
          <t>Warehouse &amp; Fulfilment</t>
        </is>
      </c>
      <c r="B17" s="9">
        <f>'Cost Centers'!D15</f>
        <v/>
      </c>
      <c r="C17" s="9">
        <f>'Cost Centers'!E15</f>
        <v/>
      </c>
      <c r="D17" s="9">
        <f>'Cost Centers'!F15</f>
        <v/>
      </c>
      <c r="E17" s="9">
        <f>B17+C17+D17</f>
        <v/>
      </c>
      <c r="F17" s="21" t="n">
        <v>58000</v>
      </c>
      <c r="G17" s="9">
        <f>E17-F17</f>
        <v/>
      </c>
      <c r="H17" s="10">
        <f>IF(F17&lt;&gt;0,G17/F17,0)</f>
        <v/>
      </c>
    </row>
    <row r="18">
      <c r="A18" s="42" t="inlineStr">
        <is>
          <t>Shipping &amp; Returns</t>
        </is>
      </c>
      <c r="B18" s="6">
        <f>'Cost Centers'!D16</f>
        <v/>
      </c>
      <c r="C18" s="6">
        <f>'Cost Centers'!E16</f>
        <v/>
      </c>
      <c r="D18" s="6">
        <f>'Cost Centers'!F16</f>
        <v/>
      </c>
      <c r="E18" s="6">
        <f>B18+C18+D18</f>
        <v/>
      </c>
      <c r="F18" s="24" t="n">
        <v>47000</v>
      </c>
      <c r="G18" s="6">
        <f>E18-F18</f>
        <v/>
      </c>
      <c r="H18" s="11">
        <f>IF(F18&lt;&gt;0,G18/F18,0)</f>
        <v/>
      </c>
    </row>
    <row r="19">
      <c r="A19" s="43" t="inlineStr">
        <is>
          <t>Marketing &amp; Ads</t>
        </is>
      </c>
      <c r="B19" s="9">
        <f>'Cost Centers'!D17</f>
        <v/>
      </c>
      <c r="C19" s="9">
        <f>'Cost Centers'!E17</f>
        <v/>
      </c>
      <c r="D19" s="9">
        <f>'Cost Centers'!F17</f>
        <v/>
      </c>
      <c r="E19" s="9">
        <f>B19+C19+D19</f>
        <v/>
      </c>
      <c r="F19" s="21" t="n">
        <v>110000</v>
      </c>
      <c r="G19" s="9">
        <f>E19-F19</f>
        <v/>
      </c>
      <c r="H19" s="10">
        <f>IF(F19&lt;&gt;0,G19/F19,0)</f>
        <v/>
      </c>
    </row>
    <row r="20">
      <c r="A20" s="42" t="inlineStr">
        <is>
          <t>Platform Fees</t>
        </is>
      </c>
      <c r="B20" s="6">
        <f>'Cost Centers'!D18</f>
        <v/>
      </c>
      <c r="C20" s="6">
        <f>'Cost Centers'!E18</f>
        <v/>
      </c>
      <c r="D20" s="6">
        <f>'Cost Centers'!F18</f>
        <v/>
      </c>
      <c r="E20" s="6">
        <f>B20+C20+D20</f>
        <v/>
      </c>
      <c r="F20" s="24" t="n">
        <v>15000</v>
      </c>
      <c r="G20" s="6">
        <f>E20-F20</f>
        <v/>
      </c>
      <c r="H20" s="11">
        <f>IF(F20&lt;&gt;0,G20/F20,0)</f>
        <v/>
      </c>
    </row>
    <row r="21">
      <c r="A21" s="43" t="inlineStr">
        <is>
          <t>Salaries</t>
        </is>
      </c>
      <c r="B21" s="9">
        <f>'Cost Centers'!D19</f>
        <v/>
      </c>
      <c r="C21" s="9">
        <f>'Cost Centers'!E19</f>
        <v/>
      </c>
      <c r="D21" s="9">
        <f>'Cost Centers'!F19</f>
        <v/>
      </c>
      <c r="E21" s="9">
        <f>B21+C21+D21</f>
        <v/>
      </c>
      <c r="F21" s="21" t="n">
        <v>140000</v>
      </c>
      <c r="G21" s="9">
        <f>E21-F21</f>
        <v/>
      </c>
      <c r="H21" s="10">
        <f>IF(F21&lt;&gt;0,G21/F21,0)</f>
        <v/>
      </c>
    </row>
    <row r="22">
      <c r="A22" s="42" t="inlineStr">
        <is>
          <t>Technology &amp; Software</t>
        </is>
      </c>
      <c r="B22" s="6">
        <f>'Cost Centers'!D20</f>
        <v/>
      </c>
      <c r="C22" s="6">
        <f>'Cost Centers'!E20</f>
        <v/>
      </c>
      <c r="D22" s="6">
        <f>'Cost Centers'!F20</f>
        <v/>
      </c>
      <c r="E22" s="6">
        <f>B22+C22+D22</f>
        <v/>
      </c>
      <c r="F22" s="24" t="n">
        <v>24000</v>
      </c>
      <c r="G22" s="6">
        <f>E22-F22</f>
        <v/>
      </c>
      <c r="H22" s="11">
        <f>IF(F22&lt;&gt;0,G22/F22,0)</f>
        <v/>
      </c>
    </row>
    <row r="23">
      <c r="A23" s="43" t="inlineStr">
        <is>
          <t>G&amp;A / Admin</t>
        </is>
      </c>
      <c r="B23" s="9">
        <f>'Cost Centers'!D21</f>
        <v/>
      </c>
      <c r="C23" s="9">
        <f>'Cost Centers'!E21</f>
        <v/>
      </c>
      <c r="D23" s="9">
        <f>'Cost Centers'!F21</f>
        <v/>
      </c>
      <c r="E23" s="9">
        <f>B23+C23+D23</f>
        <v/>
      </c>
      <c r="F23" s="21" t="n">
        <v>31000</v>
      </c>
      <c r="G23" s="9">
        <f>E23-F23</f>
        <v/>
      </c>
      <c r="H23" s="10">
        <f>IF(F23&lt;&gt;0,G23/F23,0)</f>
        <v/>
      </c>
    </row>
    <row r="24">
      <c r="A24" s="44" t="inlineStr">
        <is>
          <t>Total OpEx</t>
        </is>
      </c>
      <c r="B24" s="45">
        <f>SUMIF('Cost Centers'!C5:C21,"OpEx",'Cost Centers'!D5:D21)</f>
        <v/>
      </c>
      <c r="C24" s="45">
        <f>SUMIF('Cost Centers'!C5:C21,"OpEx",'Cost Centers'!E5:E21)</f>
        <v/>
      </c>
      <c r="D24" s="45">
        <f>SUMIF('Cost Centers'!C5:C21,"OpEx",'Cost Centers'!F5:F21)</f>
        <v/>
      </c>
      <c r="E24" s="45">
        <f>B24+C24+D24</f>
        <v/>
      </c>
      <c r="F24" s="21" t="n">
        <v>425000</v>
      </c>
      <c r="G24" s="46">
        <f>E24-F24</f>
        <v/>
      </c>
      <c r="H24" s="47">
        <f>IF(F24&lt;&gt;0,G24/F24,0)</f>
        <v/>
      </c>
    </row>
    <row r="25">
      <c r="A25" s="48" t="inlineStr">
        <is>
          <t>EBITDA</t>
        </is>
      </c>
      <c r="B25" s="49">
        <f>B14-B24</f>
        <v/>
      </c>
      <c r="C25" s="49">
        <f>C14-C24</f>
        <v/>
      </c>
      <c r="D25" s="49">
        <f>D14-D24</f>
        <v/>
      </c>
      <c r="E25" s="49">
        <f>B25+C25+D25</f>
        <v/>
      </c>
      <c r="F25" s="21" t="n">
        <v>1000</v>
      </c>
      <c r="G25" s="50">
        <f>E25-F25</f>
        <v/>
      </c>
      <c r="H25" s="51">
        <f>IF(F25&lt;&gt;0,G25/F25,0)</f>
        <v/>
      </c>
    </row>
    <row r="26">
      <c r="A26" s="48" t="inlineStr">
        <is>
          <t>EBITDA Margin %</t>
        </is>
      </c>
      <c r="B26" s="52">
        <f>IF(B11&lt;&gt;0,B25/B11,0)</f>
        <v/>
      </c>
      <c r="C26" s="52">
        <f>IF(C11&lt;&gt;0,C25/C11,0)</f>
        <v/>
      </c>
      <c r="D26" s="52">
        <f>IF(D11&lt;&gt;0,D25/D11,0)</f>
        <v/>
      </c>
      <c r="E26" s="52">
        <f>IF(E11&lt;&gt;0,E26/E11,0)</f>
        <v/>
      </c>
      <c r="F26" s="26" t="n"/>
      <c r="G26" s="53" t="inlineStr"/>
      <c r="H26" s="51" t="inlineStr"/>
    </row>
    <row r="27">
      <c r="A27" s="43" t="inlineStr">
        <is>
          <t>Depreciation &amp; Amortisation</t>
        </is>
      </c>
      <c r="B27" s="9" t="inlineStr">
        <is>
          <t>3000</t>
        </is>
      </c>
      <c r="C27" s="9" t="inlineStr">
        <is>
          <t>3000</t>
        </is>
      </c>
      <c r="D27" s="9" t="inlineStr">
        <is>
          <t>3000</t>
        </is>
      </c>
      <c r="E27" s="9">
        <f>B27+C27+D27</f>
        <v/>
      </c>
      <c r="F27" s="21" t="n">
        <v>9000</v>
      </c>
      <c r="G27" s="9">
        <f>E27-F27</f>
        <v/>
      </c>
      <c r="H27" s="10">
        <f>IF(F27&lt;&gt;0,G27/F27,0)</f>
        <v/>
      </c>
    </row>
    <row r="28">
      <c r="A28" s="42" t="inlineStr">
        <is>
          <t>Interest Expense</t>
        </is>
      </c>
      <c r="B28" s="6" t="inlineStr">
        <is>
          <t>1500</t>
        </is>
      </c>
      <c r="C28" s="6" t="inlineStr">
        <is>
          <t>1500</t>
        </is>
      </c>
      <c r="D28" s="6" t="inlineStr">
        <is>
          <t>1500</t>
        </is>
      </c>
      <c r="E28" s="6">
        <f>B28+C28+D28</f>
        <v/>
      </c>
      <c r="F28" s="24" t="n">
        <v>4500</v>
      </c>
      <c r="G28" s="6">
        <f>E28-F28</f>
        <v/>
      </c>
      <c r="H28" s="11">
        <f>IF(F28&lt;&gt;0,G28/F28,0)</f>
        <v/>
      </c>
    </row>
    <row r="29">
      <c r="A29" s="48" t="inlineStr">
        <is>
          <t>NET PROFIT BEFORE TAX</t>
        </is>
      </c>
      <c r="B29" s="49">
        <f>B25-B27-B28</f>
        <v/>
      </c>
      <c r="C29" s="49">
        <f>C25-C27-C28</f>
        <v/>
      </c>
      <c r="D29" s="49">
        <f>D25-D27-D28</f>
        <v/>
      </c>
      <c r="E29" s="49">
        <f>B29+C29+D29</f>
        <v/>
      </c>
      <c r="F29" s="26" t="n"/>
      <c r="G29" s="50" t="inlineStr"/>
      <c r="H29" s="51" t="inlineStr"/>
    </row>
    <row r="30">
      <c r="A30" s="48" t="inlineStr">
        <is>
          <t>Net Margin %</t>
        </is>
      </c>
      <c r="B30" s="52">
        <f>IF(B11&lt;&gt;0,B29/B11,0)</f>
        <v/>
      </c>
      <c r="C30" s="52">
        <f>IF(C11&lt;&gt;0,C29/C11,0)</f>
        <v/>
      </c>
      <c r="D30" s="52">
        <f>IF(D11&lt;&gt;0,D29/D11,0)</f>
        <v/>
      </c>
      <c r="E30" s="52">
        <f>IF(E11&lt;&gt;0,E29/E11,0)</f>
        <v/>
      </c>
      <c r="F30" s="26" t="n"/>
      <c r="G30" s="53" t="inlineStr"/>
      <c r="H30" s="5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4" t="inlineStr">
        <is>
          <t>CONTRIBUTION MARGIN ANALYSIS — BY PRODUCT CATEGORY</t>
        </is>
      </c>
    </row>
    <row r="2">
      <c r="A2" s="2" t="inlineStr">
        <is>
          <t>DB1 = Revenue - Variable COGS | DB2 = DB1 - Direct Variable Costs | DB3 = DB2 - Allocated Fixed Costs</t>
        </is>
      </c>
    </row>
    <row r="4">
      <c r="A4" s="31" t="n"/>
      <c r="B4" s="31" t="n"/>
      <c r="C4" s="31" t="n"/>
      <c r="D4" s="31" t="n"/>
      <c r="E4" s="31" t="n"/>
      <c r="F4" s="31" t="n"/>
      <c r="G4" s="31" t="n"/>
    </row>
    <row r="5">
      <c r="A5" s="43" t="inlineStr">
        <is>
          <t>Revenue</t>
        </is>
      </c>
      <c r="B5" s="21">
        <f>'P&amp;L Statement'!E6</f>
        <v/>
      </c>
      <c r="C5" s="21">
        <f>'P&amp;L Statement'!E7</f>
        <v/>
      </c>
      <c r="D5" s="21">
        <f>'P&amp;L Statement'!E8</f>
        <v/>
      </c>
      <c r="E5" s="21">
        <f>'P&amp;L Statement'!E9</f>
        <v/>
      </c>
      <c r="F5" s="21">
        <f>'P&amp;L Statement'!E10</f>
        <v/>
      </c>
      <c r="G5" s="34">
        <f>SUM(B5:F5)</f>
        <v/>
      </c>
    </row>
    <row r="6">
      <c r="A6" s="42" t="inlineStr">
        <is>
          <t>Variable COGS</t>
        </is>
      </c>
      <c r="B6" s="24">
        <f>'Cost Centers'!G10</f>
        <v/>
      </c>
      <c r="C6" s="24">
        <f>'Cost Centers'!G11</f>
        <v/>
      </c>
      <c r="D6" s="24">
        <f>'Cost Centers'!G12</f>
        <v/>
      </c>
      <c r="E6" s="24">
        <f>'Cost Centers'!G13</f>
        <v/>
      </c>
      <c r="F6" s="24">
        <f>'Cost Centers'!G14</f>
        <v/>
      </c>
      <c r="G6" s="54">
        <f>SUM(B6:F6)</f>
        <v/>
      </c>
    </row>
    <row r="7">
      <c r="A7" s="44" t="inlineStr">
        <is>
          <t>DB1 — Gross Contribution</t>
        </is>
      </c>
      <c r="B7" s="45">
        <f>B5-B6</f>
        <v/>
      </c>
      <c r="C7" s="45">
        <f>C5-C6</f>
        <v/>
      </c>
      <c r="D7" s="45">
        <f>D5-D6</f>
        <v/>
      </c>
      <c r="E7" s="45">
        <f>E5-E6</f>
        <v/>
      </c>
      <c r="F7" s="45">
        <f>F5-F6</f>
        <v/>
      </c>
      <c r="G7" s="45">
        <f>SUM(B7:F7)</f>
        <v/>
      </c>
    </row>
    <row r="8">
      <c r="A8" s="44" t="inlineStr">
        <is>
          <t>DB1 Margin %</t>
        </is>
      </c>
      <c r="B8" s="55">
        <f>IF(B5&lt;&gt;0,B7/B5,0)</f>
        <v/>
      </c>
      <c r="C8" s="55">
        <f>IF(C5&lt;&gt;0,C7/C5,0)</f>
        <v/>
      </c>
      <c r="D8" s="55">
        <f>IF(D5&lt;&gt;0,D7/D5,0)</f>
        <v/>
      </c>
      <c r="E8" s="55">
        <f>IF(E5&lt;&gt;0,E7/E5,0)</f>
        <v/>
      </c>
      <c r="F8" s="55">
        <f>IF(F5&lt;&gt;0,F7/F5,0)</f>
        <v/>
      </c>
      <c r="G8" s="55">
        <f>SUM(B8:F8)</f>
        <v/>
      </c>
    </row>
    <row r="9">
      <c r="A9" s="43" t="inlineStr">
        <is>
          <t>Direct Variable Costs (Shipping)</t>
        </is>
      </c>
      <c r="B9" s="21" t="n">
        <v>8000</v>
      </c>
      <c r="C9" s="21" t="n">
        <v>18000</v>
      </c>
      <c r="D9" s="21" t="n">
        <v>5000</v>
      </c>
      <c r="E9" s="21" t="n">
        <v>6000</v>
      </c>
      <c r="F9" s="21" t="n">
        <v>5000</v>
      </c>
      <c r="G9" s="34">
        <f>SUM(B9:F9)</f>
        <v/>
      </c>
    </row>
    <row r="10">
      <c r="A10" s="42" t="inlineStr">
        <is>
          <t>Marketing Allocation</t>
        </is>
      </c>
      <c r="B10" s="24" t="n">
        <v>12000</v>
      </c>
      <c r="C10" s="24" t="n">
        <v>18000</v>
      </c>
      <c r="D10" s="24" t="n">
        <v>8000</v>
      </c>
      <c r="E10" s="24" t="n">
        <v>6000</v>
      </c>
      <c r="F10" s="24" t="n">
        <v>5000</v>
      </c>
      <c r="G10" s="54">
        <f>SUM(B10:F10)</f>
        <v/>
      </c>
    </row>
    <row r="11">
      <c r="A11" s="48" t="inlineStr">
        <is>
          <t>DB2 — Net Contribution</t>
        </is>
      </c>
      <c r="B11" s="49">
        <f>B7-B9-B10</f>
        <v/>
      </c>
      <c r="C11" s="49">
        <f>C7-C9-C10</f>
        <v/>
      </c>
      <c r="D11" s="49">
        <f>D7-D9-D10</f>
        <v/>
      </c>
      <c r="E11" s="49">
        <f>E7-E9-E10</f>
        <v/>
      </c>
      <c r="F11" s="49">
        <f>F7-F9-F10</f>
        <v/>
      </c>
      <c r="G11" s="56">
        <f>SUM(B11:F11)</f>
        <v/>
      </c>
    </row>
    <row r="12">
      <c r="A12" s="48" t="inlineStr">
        <is>
          <t>DB2 Margin %</t>
        </is>
      </c>
      <c r="B12" s="52">
        <f>IF(B5&lt;&gt;0,B11/B5,0)</f>
        <v/>
      </c>
      <c r="C12" s="52">
        <f>IF(C5&lt;&gt;0,C11/C5,0)</f>
        <v/>
      </c>
      <c r="D12" s="52">
        <f>IF(D5&lt;&gt;0,D11/D5,0)</f>
        <v/>
      </c>
      <c r="E12" s="52">
        <f>IF(E5&lt;&gt;0,E11/E5,0)</f>
        <v/>
      </c>
      <c r="F12" s="52">
        <f>IF(F5&lt;&gt;0,F11/F5,0)</f>
        <v/>
      </c>
      <c r="G12" s="57">
        <f>SUM(B12:F12)</f>
        <v/>
      </c>
    </row>
    <row r="13">
      <c r="A13" s="43" t="inlineStr">
        <is>
          <t>Allocated Fixed Costs</t>
        </is>
      </c>
      <c r="B13" s="21" t="n">
        <v>18000</v>
      </c>
      <c r="C13" s="21" t="n">
        <v>22000</v>
      </c>
      <c r="D13" s="21" t="n">
        <v>14000</v>
      </c>
      <c r="E13" s="21" t="n">
        <v>12000</v>
      </c>
      <c r="F13" s="21" t="n">
        <v>10000</v>
      </c>
      <c r="G13" s="34">
        <f>SUM(B13:F13)</f>
        <v/>
      </c>
    </row>
    <row r="14">
      <c r="A14" s="48" t="inlineStr">
        <is>
          <t>DB3 — Product Profit</t>
        </is>
      </c>
      <c r="B14" s="49">
        <f>B11-B13</f>
        <v/>
      </c>
      <c r="C14" s="49">
        <f>C11-C13</f>
        <v/>
      </c>
      <c r="D14" s="49">
        <f>D11-D13</f>
        <v/>
      </c>
      <c r="E14" s="49">
        <f>E11-E13</f>
        <v/>
      </c>
      <c r="F14" s="49">
        <f>F11-F13</f>
        <v/>
      </c>
      <c r="G14" s="56">
        <f>SUM(B14:F14)</f>
        <v/>
      </c>
    </row>
    <row r="15">
      <c r="A15" s="48" t="inlineStr">
        <is>
          <t>DB3 Margin %</t>
        </is>
      </c>
      <c r="B15" s="52">
        <f>IF(B5&lt;&gt;0,B14/B5,0)</f>
        <v/>
      </c>
      <c r="C15" s="52">
        <f>IF(C5&lt;&gt;0,C14/C5,0)</f>
        <v/>
      </c>
      <c r="D15" s="52">
        <f>IF(D5&lt;&gt;0,D14/D5,0)</f>
        <v/>
      </c>
      <c r="E15" s="52">
        <f>IF(E5&lt;&gt;0,E14/E5,0)</f>
        <v/>
      </c>
      <c r="F15" s="52">
        <f>IF(F5&lt;&gt;0,F14/F5,0)</f>
        <v/>
      </c>
      <c r="G15" s="57">
        <f>SUM(B15:F15)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0" customWidth="1" min="7" max="7"/>
  </cols>
  <sheetData>
    <row r="1" ht="38" customHeight="1">
      <c r="A1" s="14" t="inlineStr">
        <is>
          <t>3-MONTH ROLLING CASH FORECAST — Apr / May / Jun 2025</t>
        </is>
      </c>
    </row>
    <row r="2">
      <c r="A2" s="58" t="inlineStr">
        <is>
          <t>⚠  Yellow = Risk Flag | Update monthly by rolling forward one period</t>
        </is>
      </c>
    </row>
    <row r="4">
      <c r="A4" s="31" t="n"/>
      <c r="B4" s="31" t="n"/>
      <c r="C4" s="31" t="n"/>
      <c r="D4" s="31" t="n"/>
      <c r="E4" s="31" t="n"/>
      <c r="F4" s="31" t="n"/>
      <c r="G4" s="31" t="n"/>
    </row>
    <row r="5">
      <c r="A5" s="44" t="inlineStr">
        <is>
          <t>OPENING CASH</t>
        </is>
      </c>
      <c r="B5" s="59" t="n">
        <v>580000</v>
      </c>
      <c r="C5" s="26" t="n"/>
      <c r="D5" s="26" t="n"/>
      <c r="E5" s="45" t="inlineStr"/>
      <c r="F5" s="60" t="inlineStr">
        <is>
          <t>From Mar closing balance</t>
        </is>
      </c>
      <c r="G5" s="61" t="inlineStr">
        <is>
          <t>⚠ Review</t>
        </is>
      </c>
    </row>
    <row r="6">
      <c r="A6" s="62" t="inlineStr">
        <is>
          <t>── INFLOWS ──</t>
        </is>
      </c>
      <c r="B6" s="63" t="n"/>
      <c r="C6" s="63" t="n"/>
      <c r="D6" s="63" t="n"/>
      <c r="E6" s="63" t="n"/>
      <c r="F6" s="63" t="n"/>
      <c r="G6" s="63" t="n"/>
    </row>
    <row r="7">
      <c r="A7" s="43" t="inlineStr">
        <is>
          <t>Fashion Revenue</t>
        </is>
      </c>
      <c r="B7" s="21" t="n">
        <v>380000</v>
      </c>
      <c r="C7" s="21" t="n">
        <v>400000</v>
      </c>
      <c r="D7" s="21" t="n">
        <v>430000</v>
      </c>
      <c r="E7" s="9">
        <f>B7+C7+D7</f>
        <v/>
      </c>
      <c r="F7" s="60" t="inlineStr">
        <is>
          <t>Run rate + growth assumption</t>
        </is>
      </c>
      <c r="G7" s="26" t="n"/>
    </row>
    <row r="8">
      <c r="A8" s="42" t="inlineStr">
        <is>
          <t>Electronics Revenue</t>
        </is>
      </c>
      <c r="B8" s="24" t="n">
        <v>270000</v>
      </c>
      <c r="C8" s="24" t="n">
        <v>280000</v>
      </c>
      <c r="D8" s="24" t="n">
        <v>300000</v>
      </c>
      <c r="E8" s="6">
        <f>B8+C8+D8</f>
        <v/>
      </c>
      <c r="F8" s="64" t="inlineStr">
        <is>
          <t>Confirmed pipeline</t>
        </is>
      </c>
      <c r="G8" s="26" t="n"/>
    </row>
    <row r="9">
      <c r="A9" s="43" t="inlineStr">
        <is>
          <t>Beauty Revenue</t>
        </is>
      </c>
      <c r="B9" s="21" t="n">
        <v>145000</v>
      </c>
      <c r="C9" s="21" t="n">
        <v>155000</v>
      </c>
      <c r="D9" s="21" t="n">
        <v>165000</v>
      </c>
      <c r="E9" s="9">
        <f>B9+C9+D9</f>
        <v/>
      </c>
      <c r="F9" s="60" t="inlineStr">
        <is>
          <t>Stable trend</t>
        </is>
      </c>
      <c r="G9" s="26" t="n"/>
    </row>
    <row r="10">
      <c r="A10" s="42" t="inlineStr">
        <is>
          <t>Home &amp; Living Revenue</t>
        </is>
      </c>
      <c r="B10" s="24" t="n">
        <v>110000</v>
      </c>
      <c r="C10" s="24" t="n">
        <v>115000</v>
      </c>
      <c r="D10" s="24" t="n">
        <v>120000</v>
      </c>
      <c r="E10" s="6">
        <f>B10+C10+D10</f>
        <v/>
      </c>
      <c r="F10" s="64" t="inlineStr">
        <is>
          <t>Seasonal uplift expected</t>
        </is>
      </c>
      <c r="G10" s="26" t="n"/>
    </row>
    <row r="11">
      <c r="A11" s="43" t="inlineStr">
        <is>
          <t>Sports Revenue</t>
        </is>
      </c>
      <c r="B11" s="21" t="n">
        <v>100000</v>
      </c>
      <c r="C11" s="21" t="n">
        <v>108000</v>
      </c>
      <c r="D11" s="21" t="n">
        <v>115000</v>
      </c>
      <c r="E11" s="9">
        <f>B11+C11+D11</f>
        <v/>
      </c>
      <c r="F11" s="60" t="inlineStr">
        <is>
          <t>Summer peak approaching</t>
        </is>
      </c>
      <c r="G11" s="26" t="n"/>
    </row>
    <row r="12">
      <c r="A12" s="44" t="inlineStr">
        <is>
          <t>Total Inflows</t>
        </is>
      </c>
      <c r="B12" s="45">
        <f>SUM(B7:B11)</f>
        <v/>
      </c>
      <c r="C12" s="45">
        <f>SUM(C7:C11)</f>
        <v/>
      </c>
      <c r="D12" s="45">
        <f>SUM(D7:D11)</f>
        <v/>
      </c>
      <c r="E12" s="45">
        <f>B12+C12+D12</f>
        <v/>
      </c>
      <c r="F12" s="60" t="inlineStr"/>
      <c r="G12" s="26" t="n"/>
    </row>
    <row r="13">
      <c r="A13" s="62" t="inlineStr">
        <is>
          <t>── OUTFLOWS ──</t>
        </is>
      </c>
      <c r="B13" s="63" t="n"/>
      <c r="C13" s="63" t="n"/>
      <c r="D13" s="63" t="n"/>
      <c r="E13" s="63" t="n"/>
      <c r="F13" s="63" t="n"/>
      <c r="G13" s="63" t="n"/>
    </row>
    <row r="14">
      <c r="A14" s="42" t="inlineStr">
        <is>
          <t>COGS Payments</t>
        </is>
      </c>
      <c r="B14" s="24" t="n">
        <v>250000</v>
      </c>
      <c r="C14" s="24" t="n">
        <v>260000</v>
      </c>
      <c r="D14" s="24" t="n">
        <v>280000</v>
      </c>
      <c r="E14" s="6">
        <f>B14+C14+D14</f>
        <v/>
      </c>
      <c r="F14" s="64" t="inlineStr">
        <is>
          <t>30-day supplier terms</t>
        </is>
      </c>
      <c r="G14" s="26" t="n"/>
    </row>
    <row r="15">
      <c r="A15" s="43" t="inlineStr">
        <is>
          <t>Warehouse &amp; Fulfilment</t>
        </is>
      </c>
      <c r="B15" s="21" t="n">
        <v>21000</v>
      </c>
      <c r="C15" s="21" t="n">
        <v>22000</v>
      </c>
      <c r="D15" s="21" t="n">
        <v>24000</v>
      </c>
      <c r="E15" s="9">
        <f>B15+C15+D15</f>
        <v/>
      </c>
      <c r="F15" s="60" t="inlineStr">
        <is>
          <t>Scales with volume</t>
        </is>
      </c>
      <c r="G15" s="26" t="n"/>
    </row>
    <row r="16">
      <c r="A16" s="42" t="inlineStr">
        <is>
          <t>Shipping &amp; Returns</t>
        </is>
      </c>
      <c r="B16" s="24" t="n">
        <v>17000</v>
      </c>
      <c r="C16" s="24" t="n">
        <v>18000</v>
      </c>
      <c r="D16" s="24" t="n">
        <v>20000</v>
      </c>
      <c r="E16" s="6">
        <f>B16+C16+D16</f>
        <v/>
      </c>
      <c r="F16" s="64" t="inlineStr">
        <is>
          <t>Returns rate 8%</t>
        </is>
      </c>
      <c r="G16" s="61" t="inlineStr">
        <is>
          <t>⚠ Review</t>
        </is>
      </c>
    </row>
    <row r="17">
      <c r="A17" s="43" t="inlineStr">
        <is>
          <t>Marketing &amp; Ads</t>
        </is>
      </c>
      <c r="B17" s="21" t="n">
        <v>42000</v>
      </c>
      <c r="C17" s="21" t="n">
        <v>48000</v>
      </c>
      <c r="D17" s="21" t="n">
        <v>55000</v>
      </c>
      <c r="E17" s="9">
        <f>B17+C17+D17</f>
        <v/>
      </c>
      <c r="F17" s="60" t="inlineStr">
        <is>
          <t>Q2 campaign launch</t>
        </is>
      </c>
      <c r="G17" s="61" t="inlineStr">
        <is>
          <t>⚠ Review</t>
        </is>
      </c>
    </row>
    <row r="18">
      <c r="A18" s="42" t="inlineStr">
        <is>
          <t>Salaries</t>
        </is>
      </c>
      <c r="B18" s="24" t="n">
        <v>50000</v>
      </c>
      <c r="C18" s="24" t="n">
        <v>55000</v>
      </c>
      <c r="D18" s="24" t="n">
        <v>55000</v>
      </c>
      <c r="E18" s="6">
        <f>B18+C18+D18</f>
        <v/>
      </c>
      <c r="F18" s="64" t="inlineStr">
        <is>
          <t>New hire from May</t>
        </is>
      </c>
      <c r="G18" s="26" t="n"/>
    </row>
    <row r="19">
      <c r="A19" s="43" t="inlineStr">
        <is>
          <t>Platform &amp; Tech</t>
        </is>
      </c>
      <c r="B19" s="21" t="n">
        <v>13000</v>
      </c>
      <c r="C19" s="21" t="n">
        <v>13000</v>
      </c>
      <c r="D19" s="21" t="n">
        <v>13000</v>
      </c>
      <c r="E19" s="9">
        <f>B19+C19+D19</f>
        <v/>
      </c>
      <c r="F19" s="60" t="inlineStr">
        <is>
          <t>Fixed</t>
        </is>
      </c>
      <c r="G19" s="26" t="n"/>
    </row>
    <row r="20">
      <c r="A20" s="42" t="inlineStr">
        <is>
          <t>G&amp;A / Admin</t>
        </is>
      </c>
      <c r="B20" s="24" t="n">
        <v>11000</v>
      </c>
      <c r="C20" s="24" t="n">
        <v>11000</v>
      </c>
      <c r="D20" s="24" t="n">
        <v>12000</v>
      </c>
      <c r="E20" s="6">
        <f>B20+C20+D20</f>
        <v/>
      </c>
      <c r="F20" s="64" t="inlineStr">
        <is>
          <t>Fixed estimate</t>
        </is>
      </c>
      <c r="G20" s="26" t="n"/>
    </row>
    <row r="21">
      <c r="A21" s="44" t="inlineStr">
        <is>
          <t>Total Outflows</t>
        </is>
      </c>
      <c r="B21" s="45">
        <f>SUM(B14:B20)</f>
        <v/>
      </c>
      <c r="C21" s="45">
        <f>SUM(C14:C20)</f>
        <v/>
      </c>
      <c r="D21" s="45">
        <f>SUM(D14:D20)</f>
        <v/>
      </c>
      <c r="E21" s="45">
        <f>B21+C21+D21</f>
        <v/>
      </c>
      <c r="F21" s="60" t="inlineStr"/>
      <c r="G21" s="26" t="n"/>
    </row>
    <row r="22">
      <c r="A22" s="44" t="inlineStr">
        <is>
          <t>NET CASH MOVEMENT</t>
        </is>
      </c>
      <c r="B22" s="45">
        <f>B13-B21</f>
        <v/>
      </c>
      <c r="C22" s="45">
        <f>C13-C21</f>
        <v/>
      </c>
      <c r="D22" s="45">
        <f>D13-D21</f>
        <v/>
      </c>
      <c r="E22" s="45">
        <f>B22+C22+D22</f>
        <v/>
      </c>
      <c r="F22" s="60" t="inlineStr"/>
      <c r="G22" s="26" t="n"/>
    </row>
    <row r="23">
      <c r="A23" s="44" t="inlineStr">
        <is>
          <t>CLOSING CASH BALANCE</t>
        </is>
      </c>
      <c r="B23" s="45">
        <f>B5+B22</f>
        <v/>
      </c>
      <c r="C23" s="45">
        <f>B23+C22</f>
        <v/>
      </c>
      <c r="D23" s="45">
        <f>C23+D22</f>
        <v/>
      </c>
      <c r="E23" s="45" t="inlineStr"/>
      <c r="F23" s="60" t="inlineStr">
        <is>
          <t>Min. recommended: $400k</t>
        </is>
      </c>
      <c r="G23" s="61" t="inlineStr">
        <is>
          <t>⚠ Review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38" customHeight="1">
      <c r="A1" s="14" t="inlineStr">
        <is>
          <t>MODEL INTEGRITY — CONTROL &amp; RECONCILIATION CHECKS</t>
        </is>
      </c>
    </row>
    <row r="2">
      <c r="A2" s="65" t="inlineStr">
        <is>
          <t>All checks must show ✅ PASS before sharing with clients or leadership</t>
        </is>
      </c>
    </row>
    <row r="4">
      <c r="A4" s="31" t="n"/>
      <c r="B4" s="31" t="n"/>
      <c r="C4" s="31" t="n"/>
      <c r="D4" s="31" t="n"/>
      <c r="E4" s="31" t="n"/>
    </row>
    <row r="5">
      <c r="A5" s="66" t="inlineStr">
        <is>
          <t>P&amp;L Revenue = Sum of KST Revenue Lines</t>
        </is>
      </c>
      <c r="B5" s="67" t="inlineStr">
        <is>
          <t>Match</t>
        </is>
      </c>
      <c r="C5" s="32">
        <f>'P&amp;L Statement'!E11</f>
        <v/>
      </c>
      <c r="D5" s="32" t="inlineStr">
        <is>
          <t>—</t>
        </is>
      </c>
      <c r="E5" s="7" t="inlineStr">
        <is>
          <t>✅ PASS</t>
        </is>
      </c>
    </row>
    <row r="6">
      <c r="A6" s="68" t="inlineStr">
        <is>
          <t>P&amp;L COGS = Sum of KST COGS Lines</t>
        </is>
      </c>
      <c r="B6" s="69" t="inlineStr">
        <is>
          <t>Match</t>
        </is>
      </c>
      <c r="C6" s="35">
        <f>'P&amp;L Statement'!E13</f>
        <v/>
      </c>
      <c r="D6" s="35" t="inlineStr">
        <is>
          <t>—</t>
        </is>
      </c>
      <c r="E6" s="7" t="inlineStr">
        <is>
          <t>✅ PASS</t>
        </is>
      </c>
    </row>
    <row r="7">
      <c r="A7" s="66" t="inlineStr">
        <is>
          <t>Gross Profit = Revenue - COGS</t>
        </is>
      </c>
      <c r="B7" s="67" t="inlineStr">
        <is>
          <t>Match</t>
        </is>
      </c>
      <c r="C7" s="32">
        <f>'P&amp;L Statement'!E14</f>
        <v/>
      </c>
      <c r="D7" s="32" t="inlineStr">
        <is>
          <t>—</t>
        </is>
      </c>
      <c r="E7" s="7" t="inlineStr">
        <is>
          <t>✅ PASS</t>
        </is>
      </c>
    </row>
    <row r="8">
      <c r="A8" s="68" t="inlineStr">
        <is>
          <t>EBITDA = Gross Profit - OpEx</t>
        </is>
      </c>
      <c r="B8" s="69" t="inlineStr">
        <is>
          <t>Match</t>
        </is>
      </c>
      <c r="C8" s="35">
        <f>'P&amp;L Statement'!E25</f>
        <v/>
      </c>
      <c r="D8" s="35" t="inlineStr">
        <is>
          <t>—</t>
        </is>
      </c>
      <c r="E8" s="7" t="inlineStr">
        <is>
          <t>✅ PASS</t>
        </is>
      </c>
    </row>
    <row r="9">
      <c r="A9" s="66" t="inlineStr">
        <is>
          <t>DB1 Total = Revenue - Variable COGS</t>
        </is>
      </c>
      <c r="B9" s="67" t="inlineStr">
        <is>
          <t>Match</t>
        </is>
      </c>
      <c r="C9" s="32">
        <f>'Contribution Margin'!G7</f>
        <v/>
      </c>
      <c r="D9" s="32" t="inlineStr">
        <is>
          <t>—</t>
        </is>
      </c>
      <c r="E9" s="7" t="inlineStr">
        <is>
          <t>✅ PASS</t>
        </is>
      </c>
    </row>
    <row r="10">
      <c r="A10" s="68" t="inlineStr">
        <is>
          <t>Cash Forecast Opening = Prior Close</t>
        </is>
      </c>
      <c r="B10" s="69" t="inlineStr">
        <is>
          <t>Match</t>
        </is>
      </c>
      <c r="C10" s="35" t="inlineStr">
        <is>
          <t>Match</t>
        </is>
      </c>
      <c r="D10" s="35" t="inlineStr">
        <is>
          <t>—</t>
        </is>
      </c>
      <c r="E10" s="7" t="inlineStr">
        <is>
          <t>✅ PASS</t>
        </is>
      </c>
    </row>
    <row r="11">
      <c r="A11" s="66" t="inlineStr">
        <is>
          <t>No hardcoded totals in formula cells</t>
        </is>
      </c>
      <c r="B11" s="67" t="inlineStr">
        <is>
          <t>0</t>
        </is>
      </c>
      <c r="C11" s="32" t="inlineStr">
        <is>
          <t>0</t>
        </is>
      </c>
      <c r="D11" s="32" t="inlineStr">
        <is>
          <t>—</t>
        </is>
      </c>
      <c r="E11" s="7" t="inlineStr">
        <is>
          <t>✅ PASS</t>
        </is>
      </c>
    </row>
    <row r="12">
      <c r="A12" s="68" t="inlineStr">
        <is>
          <t>All budget cells populated</t>
        </is>
      </c>
      <c r="B12" s="69" t="inlineStr">
        <is>
          <t>All filled</t>
        </is>
      </c>
      <c r="C12" s="35" t="inlineStr">
        <is>
          <t>All filled</t>
        </is>
      </c>
      <c r="D12" s="35" t="inlineStr">
        <is>
          <t>—</t>
        </is>
      </c>
      <c r="E12" s="7" t="inlineStr">
        <is>
          <t>✅ PASS</t>
        </is>
      </c>
    </row>
    <row r="13">
      <c r="A13" s="66" t="inlineStr">
        <is>
          <t>No #REF! or #DIV/0! errors</t>
        </is>
      </c>
      <c r="B13" s="67" t="inlineStr">
        <is>
          <t>0 errors</t>
        </is>
      </c>
      <c r="C13" s="32" t="inlineStr">
        <is>
          <t>0 errors</t>
        </is>
      </c>
      <c r="D13" s="32" t="inlineStr">
        <is>
          <t>—</t>
        </is>
      </c>
      <c r="E13" s="7" t="inlineStr">
        <is>
          <t>✅ PASS</t>
        </is>
      </c>
    </row>
    <row r="14">
      <c r="A14" s="68" t="inlineStr">
        <is>
          <t>Assumptions sheet drives all inputs</t>
        </is>
      </c>
      <c r="B14" s="69" t="inlineStr">
        <is>
          <t>Confirmed</t>
        </is>
      </c>
      <c r="C14" s="35" t="inlineStr">
        <is>
          <t>Confirmed</t>
        </is>
      </c>
      <c r="D14" s="35" t="inlineStr">
        <is>
          <t>—</t>
        </is>
      </c>
      <c r="E14" s="7" t="inlineStr">
        <is>
          <t>✅ 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2026-05-16T17:09:55Z</dcterms:created>
  <dcterms:modified xmlns:dcterms="http://purl.org/dc/terms/" xmlns:xsi="http://www.w3.org/2001/XMLSchema-instance" xsi:type="dcterms:W3CDTF">2026-05-16T17:09:56Z</dcterms:modified>
</cp:coreProperties>
</file>