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P&amp;L Statement" sheetId="2" state="visible" r:id="rId2"/>
    <sheet xmlns:r="http://schemas.openxmlformats.org/officeDocument/2006/relationships" name="KPI Tracker" sheetId="3" state="visible" r:id="rId3"/>
    <sheet xmlns:r="http://schemas.openxmlformats.org/officeDocument/2006/relationships" name="Cash Flow Statement" sheetId="4" state="visible" r:id="rId4"/>
    <sheet xmlns:r="http://schemas.openxmlformats.org/officeDocument/2006/relationships" name="Leadership Readout" sheetId="5" state="visible" r:id="rId5"/>
    <sheet xmlns:r="http://schemas.openxmlformats.org/officeDocument/2006/relationships" name="Control Check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-&quot;"/>
    <numFmt numFmtId="165" formatCode="0.0%;(0.0%);&quot;-&quot;"/>
  </numFmts>
  <fonts count="1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b val="1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375623"/>
      <sz val="12"/>
    </font>
    <font>
      <name val="Arial"/>
      <b val="1"/>
      <color rgb="00375623"/>
      <sz val="9"/>
    </font>
    <font>
      <name val="Arial"/>
      <sz val="10"/>
    </font>
    <font>
      <name val="Arial"/>
      <b val="1"/>
      <color rgb="00C00000"/>
      <sz val="12"/>
    </font>
    <font>
      <name val="Arial"/>
      <b val="1"/>
      <color rgb="00375623"/>
      <sz val="10"/>
    </font>
    <font>
      <name val="Arial"/>
      <color rgb="00375623"/>
      <sz val="10"/>
    </font>
    <font>
      <name val="Arial"/>
      <b val="1"/>
      <color rgb="000000FF"/>
      <sz val="10"/>
    </font>
    <font>
      <name val="Arial"/>
      <b val="1"/>
      <color rgb="007F6000"/>
      <sz val="9"/>
    </font>
    <font>
      <name val="Arial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375623"/>
      </patternFill>
    </fill>
    <fill>
      <patternFill patternType="solid">
        <fgColor rgb="007F6000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/>
    </xf>
    <xf numFmtId="164" fontId="6" fillId="6" borderId="1" applyAlignment="1" pivotButton="0" quotePrefix="0" xfId="0">
      <alignment horizontal="right" vertical="center"/>
    </xf>
    <xf numFmtId="164" fontId="7" fillId="6" borderId="1" applyAlignment="1" pivotButton="0" quotePrefix="0" xfId="0">
      <alignment horizontal="right" vertical="center"/>
    </xf>
    <xf numFmtId="165" fontId="6" fillId="6" borderId="1" applyAlignment="1" pivotButton="0" quotePrefix="0" xfId="0">
      <alignment horizontal="right" vertical="center"/>
    </xf>
    <xf numFmtId="0" fontId="8" fillId="6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center" vertical="center"/>
    </xf>
    <xf numFmtId="0" fontId="10" fillId="6" borderId="1" pivotButton="0" quotePrefix="0" xfId="0"/>
    <xf numFmtId="0" fontId="11" fillId="6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/>
    </xf>
    <xf numFmtId="0" fontId="0" fillId="2" borderId="1" pivotButton="0" quotePrefix="0" xfId="0"/>
    <xf numFmtId="0" fontId="6" fillId="6" borderId="1" applyAlignment="1" pivotButton="0" quotePrefix="0" xfId="0">
      <alignment horizontal="left" vertical="center" indent="2"/>
    </xf>
    <xf numFmtId="0" fontId="6" fillId="0" borderId="1" applyAlignment="1" pivotButton="0" quotePrefix="0" xfId="0">
      <alignment horizontal="left" vertical="center" indent="2"/>
    </xf>
    <xf numFmtId="0" fontId="4" fillId="4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right" vertical="center"/>
    </xf>
    <xf numFmtId="164" fontId="6" fillId="4" borderId="1" applyAlignment="1" pivotButton="0" quotePrefix="0" xfId="0">
      <alignment horizontal="right" vertical="center"/>
    </xf>
    <xf numFmtId="165" fontId="6" fillId="4" borderId="1" applyAlignment="1" pivotButton="0" quotePrefix="0" xfId="0">
      <alignment horizontal="right" vertical="center"/>
    </xf>
    <xf numFmtId="0" fontId="12" fillId="5" borderId="1" applyAlignment="1" pivotButton="0" quotePrefix="0" xfId="0">
      <alignment horizontal="left" vertical="center"/>
    </xf>
    <xf numFmtId="164" fontId="12" fillId="5" borderId="1" applyAlignment="1" pivotButton="0" quotePrefix="0" xfId="0">
      <alignment horizontal="right" vertical="center"/>
    </xf>
    <xf numFmtId="164" fontId="13" fillId="5" borderId="1" applyAlignment="1" pivotButton="0" quotePrefix="0" xfId="0">
      <alignment horizontal="right" vertical="center"/>
    </xf>
    <xf numFmtId="165" fontId="13" fillId="5" borderId="1" applyAlignment="1" pivotButton="0" quotePrefix="0" xfId="0">
      <alignment horizontal="right" vertical="center"/>
    </xf>
    <xf numFmtId="165" fontId="12" fillId="5" borderId="1" applyAlignment="1" pivotButton="0" quotePrefix="0" xfId="0">
      <alignment horizontal="right" vertical="center"/>
    </xf>
    <xf numFmtId="0" fontId="0" fillId="0" borderId="1" pivotButton="0" quotePrefix="0" xfId="0"/>
    <xf numFmtId="0" fontId="0" fillId="6" borderId="1" pivotButton="0" quotePrefix="0" xfId="0"/>
    <xf numFmtId="0" fontId="3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6" fillId="6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center"/>
    </xf>
    <xf numFmtId="0" fontId="10" fillId="6" borderId="1" applyAlignment="1" pivotButton="0" quotePrefix="0" xfId="0">
      <alignment horizontal="right"/>
    </xf>
    <xf numFmtId="0" fontId="5" fillId="6" borderId="1" applyAlignment="1" pivotButton="0" quotePrefix="0" xfId="0">
      <alignment horizontal="right"/>
    </xf>
    <xf numFmtId="0" fontId="10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left" vertical="center" indent="1"/>
    </xf>
    <xf numFmtId="0" fontId="14" fillId="0" borderId="1" applyAlignment="1" pivotButton="0" quotePrefix="0" xfId="0">
      <alignment horizontal="center"/>
    </xf>
    <xf numFmtId="0" fontId="10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right"/>
    </xf>
    <xf numFmtId="0" fontId="15" fillId="7" borderId="1" applyAlignment="1" pivotButton="0" quotePrefix="0" xfId="0">
      <alignment horizontal="center" vertical="center"/>
    </xf>
    <xf numFmtId="164" fontId="10" fillId="0" borderId="1" applyAlignment="1" pivotButton="0" quotePrefix="0" xfId="0">
      <alignment horizontal="right"/>
    </xf>
    <xf numFmtId="164" fontId="10" fillId="6" borderId="1" applyAlignment="1" pivotButton="0" quotePrefix="0" xfId="0">
      <alignment horizontal="right"/>
    </xf>
    <xf numFmtId="0" fontId="16" fillId="3" borderId="1" applyAlignment="1" pivotButton="0" quotePrefix="0" xfId="0">
      <alignment horizontal="left" vertical="center"/>
    </xf>
    <xf numFmtId="0" fontId="10" fillId="6" borderId="1" applyAlignment="1" pivotButton="0" quotePrefix="0" xfId="0">
      <alignment horizontal="left" vertical="top" wrapText="1"/>
    </xf>
    <xf numFmtId="0" fontId="16" fillId="8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left" vertical="center"/>
    </xf>
    <xf numFmtId="0" fontId="16" fillId="10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left"/>
    </xf>
    <xf numFmtId="0" fontId="7" fillId="0" borderId="1" applyAlignment="1" pivotButton="0" quotePrefix="0" xfId="0">
      <alignment horizontal="center"/>
    </xf>
    <xf numFmtId="0" fontId="12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12" fillId="5" borderId="1" applyAlignment="1" pivotButton="0" quotePrefix="0" xfId="0">
      <alignment horizontal="center"/>
    </xf>
    <xf numFmtId="0" fontId="10" fillId="6" borderId="1" applyAlignment="1" pivotButton="0" quotePrefix="0" xfId="0">
      <alignment horizontal="left"/>
    </xf>
    <xf numFmtId="0" fontId="7" fillId="6" borderId="1" applyAlignment="1" pivotButton="0" quotePrefix="0" xfId="0">
      <alignment horizontal="center"/>
    </xf>
    <xf numFmtId="0" fontId="12" fillId="6" borderId="1" applyAlignment="1" pivotButton="0" quotePrefix="0" xfId="0">
      <alignment horizontal="center"/>
    </xf>
    <xf numFmtId="0" fontId="6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BF9000"/>
    <outlinePr summaryBelow="1" summaryRight="1"/>
    <pageSetUpPr/>
  </sheetPr>
  <dimension ref="A1:I1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0" customWidth="1" min="4" max="4"/>
    <col width="14" customWidth="1" min="5" max="5"/>
    <col width="10" customWidth="1" min="6" max="6"/>
    <col width="16" customWidth="1" min="7" max="7"/>
    <col width="16" customWidth="1" min="8" max="8"/>
    <col width="14" customWidth="1" min="9" max="9"/>
  </cols>
  <sheetData>
    <row r="1" ht="38" customHeight="1">
      <c r="A1" s="1" t="inlineStr">
        <is>
          <t>CFO MANAGEMENT REPORTING PACK</t>
        </is>
      </c>
    </row>
    <row r="2">
      <c r="A2" s="2" t="inlineStr">
        <is>
          <t>Reporting Period: FY2025 Q1  |  Prepared by: [Company Name]  |  Confidential — Not for Distribution</t>
        </is>
      </c>
    </row>
    <row r="4">
      <c r="A4" s="3" t="inlineStr">
        <is>
          <t>EXECUTIVE KPI SCORECARD</t>
        </is>
      </c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5" t="inlineStr">
        <is>
          <t>Revenue</t>
        </is>
      </c>
      <c r="B6" s="6" t="n">
        <v>1850000</v>
      </c>
      <c r="C6" s="7" t="n">
        <v>1750000</v>
      </c>
      <c r="D6" s="6">
        <f>B6-C6</f>
        <v/>
      </c>
      <c r="E6" s="8">
        <f>IF(C6&lt;&gt;0,(B6-C6)/C6,0)</f>
        <v/>
      </c>
      <c r="F6" s="6" t="n">
        <v>1620000</v>
      </c>
      <c r="G6" s="8">
        <f>IF(F6&lt;&gt;0,(B6-F6)/F6,0)</f>
        <v/>
      </c>
      <c r="H6" s="9" t="inlineStr">
        <is>
          <t>▲</t>
        </is>
      </c>
      <c r="I6" s="10" t="inlineStr">
        <is>
          <t>✅ On Track</t>
        </is>
      </c>
    </row>
    <row r="7">
      <c r="A7" s="11" t="inlineStr">
        <is>
          <t>Gross Profit</t>
        </is>
      </c>
      <c r="B7" s="12" t="n">
        <v>740000</v>
      </c>
      <c r="C7" s="13" t="n">
        <v>700000</v>
      </c>
      <c r="D7" s="12">
        <f>B7-C7</f>
        <v/>
      </c>
      <c r="E7" s="14">
        <f>IF(C7&lt;&gt;0,(B7-C7)/C7,0)</f>
        <v/>
      </c>
      <c r="F7" s="12" t="n">
        <v>620000</v>
      </c>
      <c r="G7" s="14">
        <f>IF(F7&lt;&gt;0,(B7-F7)/F7,0)</f>
        <v/>
      </c>
      <c r="H7" s="15" t="inlineStr">
        <is>
          <t>▲</t>
        </is>
      </c>
      <c r="I7" s="10" t="inlineStr">
        <is>
          <t>✅ On Track</t>
        </is>
      </c>
    </row>
    <row r="8">
      <c r="A8" s="5" t="inlineStr">
        <is>
          <t>Gross Margin %</t>
        </is>
      </c>
      <c r="B8" s="8">
        <f>IF(B7&lt;&gt;0,B7/B6,0)</f>
        <v/>
      </c>
      <c r="C8" s="8">
        <f>IF(C7&lt;&gt;0,C7/B6,0)</f>
        <v/>
      </c>
      <c r="D8" s="16" t="inlineStr"/>
      <c r="E8" s="8">
        <f>B8-C8</f>
        <v/>
      </c>
      <c r="F8" s="8">
        <f>IF(F7&lt;&gt;0,F7/B6,0)</f>
        <v/>
      </c>
      <c r="G8" s="8">
        <f>B8-F8</f>
        <v/>
      </c>
      <c r="H8" s="17" t="inlineStr">
        <is>
          <t>▼</t>
        </is>
      </c>
      <c r="I8" s="10" t="inlineStr">
        <is>
          <t>✅ On Track</t>
        </is>
      </c>
    </row>
    <row r="9">
      <c r="A9" s="11" t="inlineStr">
        <is>
          <t>EBITDA</t>
        </is>
      </c>
      <c r="B9" s="12" t="n">
        <v>210000</v>
      </c>
      <c r="C9" s="13" t="n">
        <v>190000</v>
      </c>
      <c r="D9" s="12">
        <f>B9-C9</f>
        <v/>
      </c>
      <c r="E9" s="14">
        <f>IF(C9&lt;&gt;0,(B9-C9)/C9,0)</f>
        <v/>
      </c>
      <c r="F9" s="12" t="n">
        <v>165000</v>
      </c>
      <c r="G9" s="14">
        <f>IF(F9&lt;&gt;0,(B9-F9)/F9,0)</f>
        <v/>
      </c>
      <c r="H9" s="15" t="inlineStr">
        <is>
          <t>▲</t>
        </is>
      </c>
      <c r="I9" s="10" t="inlineStr">
        <is>
          <t>✅ On Track</t>
        </is>
      </c>
    </row>
    <row r="10">
      <c r="A10" s="5" t="inlineStr">
        <is>
          <t>EBITDA Margin %</t>
        </is>
      </c>
      <c r="B10" s="8">
        <f>IF(B9&lt;&gt;0,B9/B6,0)</f>
        <v/>
      </c>
      <c r="C10" s="8">
        <f>IF(C9&lt;&gt;0,C9/B6,0)</f>
        <v/>
      </c>
      <c r="D10" s="16" t="inlineStr"/>
      <c r="E10" s="8">
        <f>B10-C10</f>
        <v/>
      </c>
      <c r="F10" s="8">
        <f>IF(F9&lt;&gt;0,F9/B6,0)</f>
        <v/>
      </c>
      <c r="G10" s="8">
        <f>B10-F10</f>
        <v/>
      </c>
      <c r="H10" s="17" t="inlineStr">
        <is>
          <t>▼</t>
        </is>
      </c>
      <c r="I10" s="10" t="inlineStr">
        <is>
          <t>✅ On Track</t>
        </is>
      </c>
    </row>
    <row r="11">
      <c r="A11" s="11" t="inlineStr">
        <is>
          <t>Net Profit</t>
        </is>
      </c>
      <c r="B11" s="12" t="n">
        <v>155000</v>
      </c>
      <c r="C11" s="13" t="n">
        <v>140000</v>
      </c>
      <c r="D11" s="12">
        <f>B11-C11</f>
        <v/>
      </c>
      <c r="E11" s="14">
        <f>IF(C11&lt;&gt;0,(B11-C11)/C11,0)</f>
        <v/>
      </c>
      <c r="F11" s="12" t="n">
        <v>118000</v>
      </c>
      <c r="G11" s="14">
        <f>IF(F11&lt;&gt;0,(B11-F11)/F11,0)</f>
        <v/>
      </c>
      <c r="H11" s="15" t="inlineStr">
        <is>
          <t>▲</t>
        </is>
      </c>
      <c r="I11" s="10" t="inlineStr">
        <is>
          <t>✅ On Track</t>
        </is>
      </c>
    </row>
    <row r="12">
      <c r="A12" s="5" t="inlineStr">
        <is>
          <t>Net Margin %</t>
        </is>
      </c>
      <c r="B12" s="8">
        <f>IF(B11&lt;&gt;0,B11/B6,0)</f>
        <v/>
      </c>
      <c r="C12" s="8">
        <f>IF(C11&lt;&gt;0,C11/B6,0)</f>
        <v/>
      </c>
      <c r="D12" s="16" t="inlineStr"/>
      <c r="E12" s="8">
        <f>B12-C12</f>
        <v/>
      </c>
      <c r="F12" s="8">
        <f>IF(F11&lt;&gt;0,F11/B6,0)</f>
        <v/>
      </c>
      <c r="G12" s="8">
        <f>B12-F12</f>
        <v/>
      </c>
      <c r="H12" s="17" t="inlineStr">
        <is>
          <t>▼</t>
        </is>
      </c>
      <c r="I12" s="10" t="inlineStr">
        <is>
          <t>✅ On Track</t>
        </is>
      </c>
    </row>
    <row r="13">
      <c r="A13" s="11" t="inlineStr">
        <is>
          <t>Operating Cash Flow</t>
        </is>
      </c>
      <c r="B13" s="12" t="n">
        <v>195000</v>
      </c>
      <c r="C13" s="13" t="n">
        <v>180000</v>
      </c>
      <c r="D13" s="12">
        <f>B13-C13</f>
        <v/>
      </c>
      <c r="E13" s="14">
        <f>IF(C13&lt;&gt;0,(B13-C13)/C13,0)</f>
        <v/>
      </c>
      <c r="F13" s="12" t="n">
        <v>150000</v>
      </c>
      <c r="G13" s="14">
        <f>IF(F13&lt;&gt;0,(B13-F13)/F13,0)</f>
        <v/>
      </c>
      <c r="H13" s="15" t="inlineStr">
        <is>
          <t>▲</t>
        </is>
      </c>
      <c r="I13" s="10" t="inlineStr">
        <is>
          <t>✅ On Track</t>
        </is>
      </c>
    </row>
    <row r="15">
      <c r="A15" s="3" t="inlineStr">
        <is>
          <t>MONTHLY REVENUE BRIDGE — Q1 2025</t>
        </is>
      </c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11" t="inlineStr">
        <is>
          <t>January</t>
        </is>
      </c>
      <c r="B17" s="12" t="n">
        <v>580000</v>
      </c>
      <c r="C17" s="13" t="n">
        <v>550000</v>
      </c>
      <c r="D17" s="14">
        <f>IF(C17&lt;&gt;0,(B17-C17)/C17,0)</f>
        <v/>
      </c>
      <c r="E17" s="12" t="n">
        <v>510000</v>
      </c>
      <c r="F17" s="14">
        <f>IF(E17&lt;&gt;0,(B17-E17)/E17,0)</f>
        <v/>
      </c>
      <c r="G17" s="12" t="n">
        <v>580000</v>
      </c>
      <c r="H17" s="13" t="n">
        <v>550000</v>
      </c>
      <c r="I17" s="12">
        <f>G17-H17</f>
        <v/>
      </c>
    </row>
    <row r="18">
      <c r="A18" s="5" t="inlineStr">
        <is>
          <t>February</t>
        </is>
      </c>
      <c r="B18" s="6" t="n">
        <v>620000</v>
      </c>
      <c r="C18" s="7" t="n">
        <v>590000</v>
      </c>
      <c r="D18" s="8">
        <f>IF(C18&lt;&gt;0,(B18-C18)/C18,0)</f>
        <v/>
      </c>
      <c r="E18" s="6" t="n">
        <v>545000</v>
      </c>
      <c r="F18" s="8">
        <f>IF(E18&lt;&gt;0,(B18-E18)/E18,0)</f>
        <v/>
      </c>
      <c r="G18" s="6" t="n">
        <v>1200000</v>
      </c>
      <c r="H18" s="7" t="n">
        <v>1140000</v>
      </c>
      <c r="I18" s="6">
        <f>G18-H18</f>
        <v/>
      </c>
    </row>
    <row r="19">
      <c r="A19" s="11" t="inlineStr">
        <is>
          <t>March</t>
        </is>
      </c>
      <c r="B19" s="12" t="n">
        <v>650000</v>
      </c>
      <c r="C19" s="13" t="n">
        <v>610000</v>
      </c>
      <c r="D19" s="14">
        <f>IF(C19&lt;&gt;0,(B19-C19)/C19,0)</f>
        <v/>
      </c>
      <c r="E19" s="12" t="n">
        <v>565000</v>
      </c>
      <c r="F19" s="14">
        <f>IF(E19&lt;&gt;0,(B19-E19)/E19,0)</f>
        <v/>
      </c>
      <c r="G19" s="12" t="n">
        <v>1850000</v>
      </c>
      <c r="H19" s="13" t="n">
        <v>1750000</v>
      </c>
      <c r="I19" s="12">
        <f>G19-H19</f>
        <v/>
      </c>
    </row>
  </sheetData>
  <mergeCells count="4">
    <mergeCell ref="A1:I1"/>
    <mergeCell ref="A4:I4"/>
    <mergeCell ref="A2:I2"/>
    <mergeCell ref="A15:I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75623"/>
    <outlinePr summaryBelow="1" summaryRight="1"/>
    <pageSetUpPr/>
  </sheetPr>
  <dimension ref="A1:I3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4" customWidth="1" min="5" max="5"/>
    <col width="14" customWidth="1" min="6" max="6"/>
    <col width="13" customWidth="1" min="7" max="7"/>
    <col width="14" customWidth="1" min="8" max="8"/>
    <col width="10" customWidth="1" min="9" max="9"/>
  </cols>
  <sheetData>
    <row r="1" ht="38" customHeight="1">
      <c r="A1" s="1" t="inlineStr">
        <is>
          <t>PROFIT &amp; LOSS STATEMENT — Q1 2025 vs Q1 2024 (Year-on-Year)</t>
        </is>
      </c>
    </row>
    <row r="2">
      <c r="A2" s="2" t="inlineStr">
        <is>
          <t>Blue = Input | Black = Formula | Variance = Actual minus Budget</t>
        </is>
      </c>
    </row>
    <row r="4">
      <c r="A4" s="18" t="n"/>
      <c r="B4" s="18" t="n"/>
      <c r="C4" s="18" t="n"/>
      <c r="D4" s="18" t="n"/>
      <c r="E4" s="18" t="n"/>
      <c r="F4" s="18" t="n"/>
      <c r="G4" s="18" t="n"/>
      <c r="H4" s="18" t="n"/>
      <c r="I4" s="18" t="n"/>
    </row>
    <row r="5">
      <c r="A5" s="19" t="inlineStr">
        <is>
          <t>REVENUE</t>
        </is>
      </c>
      <c r="B5" s="20" t="n"/>
      <c r="C5" s="20" t="n"/>
      <c r="D5" s="20" t="n"/>
      <c r="E5" s="20" t="n"/>
      <c r="F5" s="20" t="n"/>
      <c r="G5" s="20" t="n"/>
      <c r="H5" s="20" t="n"/>
      <c r="I5" s="20" t="n"/>
    </row>
    <row r="6">
      <c r="A6" s="21" t="inlineStr">
        <is>
          <t>Product Sales</t>
        </is>
      </c>
      <c r="B6" s="7" t="n">
        <v>420000</v>
      </c>
      <c r="C6" s="7" t="n">
        <v>450000</v>
      </c>
      <c r="D6" s="7" t="n">
        <v>475000</v>
      </c>
      <c r="E6" s="6">
        <f>B6+C6+D6</f>
        <v/>
      </c>
      <c r="F6" s="7" t="n">
        <v>1280000</v>
      </c>
      <c r="G6" s="6">
        <f>E6-F6</f>
        <v/>
      </c>
      <c r="H6" s="6">
        <f>H6+I6+J6</f>
        <v/>
      </c>
      <c r="I6" s="8">
        <f>IF(H6&lt;&gt;0,(E6-H6)/ABS(H6),0)</f>
        <v/>
      </c>
    </row>
    <row r="7">
      <c r="A7" s="22" t="inlineStr">
        <is>
          <t>Service Revenue</t>
        </is>
      </c>
      <c r="B7" s="13" t="n">
        <v>110000</v>
      </c>
      <c r="C7" s="13" t="n">
        <v>120000</v>
      </c>
      <c r="D7" s="13" t="n">
        <v>125000</v>
      </c>
      <c r="E7" s="12">
        <f>B7+C7+D7</f>
        <v/>
      </c>
      <c r="F7" s="13" t="n">
        <v>340000</v>
      </c>
      <c r="G7" s="12">
        <f>E7-F7</f>
        <v/>
      </c>
      <c r="H7" s="12">
        <f>H7+I7+J7</f>
        <v/>
      </c>
      <c r="I7" s="14">
        <f>IF(H7&lt;&gt;0,(E7-H7)/ABS(H7),0)</f>
        <v/>
      </c>
    </row>
    <row r="8">
      <c r="A8" s="21" t="inlineStr">
        <is>
          <t>Other Income</t>
        </is>
      </c>
      <c r="B8" s="7" t="n">
        <v>50000</v>
      </c>
      <c r="C8" s="7" t="n">
        <v>50000</v>
      </c>
      <c r="D8" s="7" t="n">
        <v>50000</v>
      </c>
      <c r="E8" s="6">
        <f>B8+C8+D8</f>
        <v/>
      </c>
      <c r="F8" s="7" t="n">
        <v>150000</v>
      </c>
      <c r="G8" s="6">
        <f>E8-F8</f>
        <v/>
      </c>
      <c r="H8" s="6">
        <f>H8+I8+J8</f>
        <v/>
      </c>
      <c r="I8" s="8">
        <f>IF(H8&lt;&gt;0,(E8-H8)/ABS(H8),0)</f>
        <v/>
      </c>
    </row>
    <row r="9">
      <c r="A9" s="23" t="inlineStr">
        <is>
          <t>Total Revenue</t>
        </is>
      </c>
      <c r="B9" s="24">
        <f>SUM(B6:B8)</f>
        <v/>
      </c>
      <c r="C9" s="24">
        <f>SUM(C6:C8)</f>
        <v/>
      </c>
      <c r="D9" s="24">
        <f>SUM(D6:D8)</f>
        <v/>
      </c>
      <c r="E9" s="24">
        <f>B9+C9+D9</f>
        <v/>
      </c>
      <c r="F9" s="13" t="n">
        <v>1770000</v>
      </c>
      <c r="G9" s="25">
        <f>E9-F9</f>
        <v/>
      </c>
      <c r="H9" s="25">
        <f>H9+I9+J9</f>
        <v/>
      </c>
      <c r="I9" s="26">
        <f>IF(H9&lt;&gt;0,(E9-H9)/ABS(H9),0)</f>
        <v/>
      </c>
    </row>
    <row r="10">
      <c r="A10" s="19" t="inlineStr">
        <is>
          <t>COST OF SALES</t>
        </is>
      </c>
      <c r="B10" s="20" t="n"/>
      <c r="C10" s="20" t="n"/>
      <c r="D10" s="20" t="n"/>
      <c r="E10" s="20" t="n"/>
      <c r="F10" s="20" t="n"/>
      <c r="G10" s="20" t="n"/>
      <c r="H10" s="20" t="n"/>
      <c r="I10" s="20" t="n"/>
    </row>
    <row r="11">
      <c r="A11" s="22" t="inlineStr">
        <is>
          <t>Direct Materials</t>
        </is>
      </c>
      <c r="B11" s="13" t="n">
        <v>168000</v>
      </c>
      <c r="C11" s="13" t="n">
        <v>180000</v>
      </c>
      <c r="D11" s="13" t="n">
        <v>190000</v>
      </c>
      <c r="E11" s="12">
        <f>B11+C11+D11</f>
        <v/>
      </c>
      <c r="F11" s="13" t="n">
        <v>512000</v>
      </c>
      <c r="G11" s="12">
        <f>E11-F11</f>
        <v/>
      </c>
      <c r="H11" s="12">
        <f>H11+I11+J11</f>
        <v/>
      </c>
      <c r="I11" s="14">
        <f>IF(H11&lt;&gt;0,(E11-H11)/ABS(H11),0)</f>
        <v/>
      </c>
    </row>
    <row r="12">
      <c r="A12" s="21" t="inlineStr">
        <is>
          <t>Direct Labour</t>
        </is>
      </c>
      <c r="B12" s="7" t="n">
        <v>63000</v>
      </c>
      <c r="C12" s="7" t="n">
        <v>67500</v>
      </c>
      <c r="D12" s="7" t="n">
        <v>71250</v>
      </c>
      <c r="E12" s="6">
        <f>B12+C12+D12</f>
        <v/>
      </c>
      <c r="F12" s="7" t="n">
        <v>192000</v>
      </c>
      <c r="G12" s="6">
        <f>E12-F12</f>
        <v/>
      </c>
      <c r="H12" s="6">
        <f>H12+I12+J12</f>
        <v/>
      </c>
      <c r="I12" s="8">
        <f>IF(H12&lt;&gt;0,(E12-H12)/ABS(H12),0)</f>
        <v/>
      </c>
    </row>
    <row r="13">
      <c r="A13" s="22" t="inlineStr">
        <is>
          <t>Manufacturing Overhead</t>
        </is>
      </c>
      <c r="B13" s="13" t="n">
        <v>42000</v>
      </c>
      <c r="C13" s="13" t="n">
        <v>45000</v>
      </c>
      <c r="D13" s="13" t="n">
        <v>47500</v>
      </c>
      <c r="E13" s="12">
        <f>B13+C13+D13</f>
        <v/>
      </c>
      <c r="F13" s="13" t="n">
        <v>128000</v>
      </c>
      <c r="G13" s="12">
        <f>E13-F13</f>
        <v/>
      </c>
      <c r="H13" s="12">
        <f>H13+I13+J13</f>
        <v/>
      </c>
      <c r="I13" s="14">
        <f>IF(H13&lt;&gt;0,(E13-H13)/ABS(H13),0)</f>
        <v/>
      </c>
    </row>
    <row r="14">
      <c r="A14" s="23" t="inlineStr">
        <is>
          <t>Total COGS</t>
        </is>
      </c>
      <c r="B14" s="24">
        <f>SUM(B11:B13)</f>
        <v/>
      </c>
      <c r="C14" s="24">
        <f>SUM(C11:C13)</f>
        <v/>
      </c>
      <c r="D14" s="24">
        <f>SUM(D11:D13)</f>
        <v/>
      </c>
      <c r="E14" s="24">
        <f>B14+C14+D14</f>
        <v/>
      </c>
      <c r="F14" s="13" t="n">
        <v>832000</v>
      </c>
      <c r="G14" s="25">
        <f>E14-F14</f>
        <v/>
      </c>
      <c r="H14" s="25">
        <f>H14+I14+J14</f>
        <v/>
      </c>
      <c r="I14" s="26">
        <f>IF(H14&lt;&gt;0,(E14-H14)/ABS(H14),0)</f>
        <v/>
      </c>
    </row>
    <row r="15">
      <c r="A15" s="27" t="inlineStr">
        <is>
          <t>GROSS PROFIT</t>
        </is>
      </c>
      <c r="B15" s="28">
        <f>B9-B14</f>
        <v/>
      </c>
      <c r="C15" s="28">
        <f>C9-C14</f>
        <v/>
      </c>
      <c r="D15" s="28">
        <f>D9-D14</f>
        <v/>
      </c>
      <c r="E15" s="28">
        <f>B15+C15+D15</f>
        <v/>
      </c>
      <c r="F15" s="13" t="n">
        <v>938000</v>
      </c>
      <c r="G15" s="29">
        <f>E15-F15</f>
        <v/>
      </c>
      <c r="H15" s="29">
        <f>H15+I15+J15</f>
        <v/>
      </c>
      <c r="I15" s="30">
        <f>IF(H15&lt;&gt;0,(E15-H15)/ABS(H15),0)</f>
        <v/>
      </c>
    </row>
    <row r="16">
      <c r="A16" s="27" t="inlineStr">
        <is>
          <t>Gross Margin %</t>
        </is>
      </c>
      <c r="B16" s="31">
        <f>IF(B9&lt;&gt;0,B15/B9,0)</f>
        <v/>
      </c>
      <c r="C16" s="31">
        <f>IF(C9&lt;&gt;0,C15/C9,0)</f>
        <v/>
      </c>
      <c r="D16" s="31">
        <f>IF(D9&lt;&gt;0,D15/D9,0)</f>
        <v/>
      </c>
      <c r="E16" s="31">
        <f>IF(E9&lt;&gt;0,E15/E9,0)</f>
        <v/>
      </c>
      <c r="F16" s="32" t="n"/>
      <c r="G16" s="30" t="inlineStr"/>
      <c r="H16" s="30" t="inlineStr"/>
      <c r="I16" s="30">
        <f>E16-H16</f>
        <v/>
      </c>
    </row>
    <row r="17">
      <c r="A17" s="19" t="inlineStr">
        <is>
          <t>OPERATING EXPENSES</t>
        </is>
      </c>
      <c r="B17" s="20" t="n"/>
      <c r="C17" s="20" t="n"/>
      <c r="D17" s="20" t="n"/>
      <c r="E17" s="20" t="n"/>
      <c r="F17" s="20" t="n"/>
      <c r="G17" s="20" t="n"/>
      <c r="H17" s="20" t="n"/>
      <c r="I17" s="20" t="n"/>
    </row>
    <row r="18">
      <c r="A18" s="21" t="inlineStr">
        <is>
          <t>Salaries &amp; Benefits</t>
        </is>
      </c>
      <c r="B18" s="7" t="n">
        <v>180000</v>
      </c>
      <c r="C18" s="7" t="n">
        <v>185000</v>
      </c>
      <c r="D18" s="7" t="n">
        <v>200000</v>
      </c>
      <c r="E18" s="6">
        <f>B18+C18+D18</f>
        <v/>
      </c>
      <c r="F18" s="7" t="n">
        <v>540000</v>
      </c>
      <c r="G18" s="6">
        <f>E18-F18</f>
        <v/>
      </c>
      <c r="H18" s="6">
        <f>H18+I18+J18</f>
        <v/>
      </c>
      <c r="I18" s="8">
        <f>IF(H18&lt;&gt;0,(E18-H18)/ABS(H18),0)</f>
        <v/>
      </c>
    </row>
    <row r="19">
      <c r="A19" s="22" t="inlineStr">
        <is>
          <t>Sales &amp; Marketing</t>
        </is>
      </c>
      <c r="B19" s="13" t="n">
        <v>55000</v>
      </c>
      <c r="C19" s="13" t="n">
        <v>60000</v>
      </c>
      <c r="D19" s="13" t="n">
        <v>65000</v>
      </c>
      <c r="E19" s="12">
        <f>B19+C19+D19</f>
        <v/>
      </c>
      <c r="F19" s="13" t="n">
        <v>165000</v>
      </c>
      <c r="G19" s="12">
        <f>E19-F19</f>
        <v/>
      </c>
      <c r="H19" s="12">
        <f>H19+I19+J19</f>
        <v/>
      </c>
      <c r="I19" s="14">
        <f>IF(H19&lt;&gt;0,(E19-H19)/ABS(H19),0)</f>
        <v/>
      </c>
    </row>
    <row r="20">
      <c r="A20" s="21" t="inlineStr">
        <is>
          <t>Technology &amp; IT</t>
        </is>
      </c>
      <c r="B20" s="7" t="n">
        <v>25000</v>
      </c>
      <c r="C20" s="7" t="n">
        <v>25000</v>
      </c>
      <c r="D20" s="7" t="n">
        <v>25000</v>
      </c>
      <c r="E20" s="6">
        <f>B20+C20+D20</f>
        <v/>
      </c>
      <c r="F20" s="7" t="n">
        <v>75000</v>
      </c>
      <c r="G20" s="6">
        <f>E20-F20</f>
        <v/>
      </c>
      <c r="H20" s="6">
        <f>H20+I20+J20</f>
        <v/>
      </c>
      <c r="I20" s="8">
        <f>IF(H20&lt;&gt;0,(E20-H20)/ABS(H20),0)</f>
        <v/>
      </c>
    </row>
    <row r="21">
      <c r="A21" s="22" t="inlineStr">
        <is>
          <t>Rent &amp; Facilities</t>
        </is>
      </c>
      <c r="B21" s="13" t="n">
        <v>30000</v>
      </c>
      <c r="C21" s="13" t="n">
        <v>30000</v>
      </c>
      <c r="D21" s="13" t="n">
        <v>30000</v>
      </c>
      <c r="E21" s="12">
        <f>B21+C21+D21</f>
        <v/>
      </c>
      <c r="F21" s="13" t="n">
        <v>90000</v>
      </c>
      <c r="G21" s="12">
        <f>E21-F21</f>
        <v/>
      </c>
      <c r="H21" s="12">
        <f>H21+I21+J21</f>
        <v/>
      </c>
      <c r="I21" s="14">
        <f>IF(H21&lt;&gt;0,(E21-H21)/ABS(H21),0)</f>
        <v/>
      </c>
    </row>
    <row r="22">
      <c r="A22" s="21" t="inlineStr">
        <is>
          <t>G&amp;A / Admin</t>
        </is>
      </c>
      <c r="B22" s="7" t="n">
        <v>18000</v>
      </c>
      <c r="C22" s="7" t="n">
        <v>18000</v>
      </c>
      <c r="D22" s="7" t="n">
        <v>20000</v>
      </c>
      <c r="E22" s="6">
        <f>B22+C22+D22</f>
        <v/>
      </c>
      <c r="F22" s="7" t="n">
        <v>54000</v>
      </c>
      <c r="G22" s="6">
        <f>E22-F22</f>
        <v/>
      </c>
      <c r="H22" s="6">
        <f>H22+I22+J22</f>
        <v/>
      </c>
      <c r="I22" s="8">
        <f>IF(H22&lt;&gt;0,(E22-H22)/ABS(H22),0)</f>
        <v/>
      </c>
    </row>
    <row r="23">
      <c r="A23" s="22" t="inlineStr">
        <is>
          <t>Depreciation</t>
        </is>
      </c>
      <c r="B23" s="13" t="n">
        <v>8000</v>
      </c>
      <c r="C23" s="13" t="n">
        <v>8000</v>
      </c>
      <c r="D23" s="13" t="n">
        <v>8000</v>
      </c>
      <c r="E23" s="12">
        <f>B23+C23+D23</f>
        <v/>
      </c>
      <c r="F23" s="13" t="n">
        <v>24000</v>
      </c>
      <c r="G23" s="12">
        <f>E23-F23</f>
        <v/>
      </c>
      <c r="H23" s="12">
        <f>H23+I23+J23</f>
        <v/>
      </c>
      <c r="I23" s="14">
        <f>IF(H23&lt;&gt;0,(E23-H23)/ABS(H23),0)</f>
        <v/>
      </c>
    </row>
    <row r="24">
      <c r="A24" s="23" t="inlineStr">
        <is>
          <t>Total OpEx</t>
        </is>
      </c>
      <c r="B24" s="24">
        <f>SUM(B19:B24)</f>
        <v/>
      </c>
      <c r="C24" s="24">
        <f>SUM(C19:C24)</f>
        <v/>
      </c>
      <c r="D24" s="24">
        <f>SUM(D19:D24)</f>
        <v/>
      </c>
      <c r="E24" s="24">
        <f>B24+C24+D24</f>
        <v/>
      </c>
      <c r="F24" s="13" t="n">
        <v>948000</v>
      </c>
      <c r="G24" s="25">
        <f>E24-F24</f>
        <v/>
      </c>
      <c r="H24" s="25">
        <f>H24+I24+J24</f>
        <v/>
      </c>
      <c r="I24" s="26">
        <f>IF(H24&lt;&gt;0,(E24-H24)/ABS(H24),0)</f>
        <v/>
      </c>
    </row>
    <row r="25">
      <c r="A25" s="27" t="inlineStr">
        <is>
          <t>EBITDA</t>
        </is>
      </c>
      <c r="B25" s="28">
        <f>B15-B24</f>
        <v/>
      </c>
      <c r="C25" s="28">
        <f>C15-C24</f>
        <v/>
      </c>
      <c r="D25" s="28">
        <f>D15-D24</f>
        <v/>
      </c>
      <c r="E25" s="28">
        <f>B25+C25+D25</f>
        <v/>
      </c>
      <c r="F25" s="32" t="n"/>
      <c r="G25" s="29" t="inlineStr"/>
      <c r="H25" s="29">
        <f>H25+I25+J25</f>
        <v/>
      </c>
      <c r="I25" s="30">
        <f>IF(H25&lt;&gt;0,(E25-H25)/ABS(H25),0)</f>
        <v/>
      </c>
    </row>
    <row r="26">
      <c r="A26" s="27" t="inlineStr">
        <is>
          <t>EBITDA Margin %</t>
        </is>
      </c>
      <c r="B26" s="31">
        <f>IF(B9&lt;&gt;0,B25/B9,0)</f>
        <v/>
      </c>
      <c r="C26" s="31">
        <f>IF(C9&lt;&gt;0,C25/C9,0)</f>
        <v/>
      </c>
      <c r="D26" s="31">
        <f>IF(D9&lt;&gt;0,D25/D9,0)</f>
        <v/>
      </c>
      <c r="E26" s="31">
        <f>IF(E9&lt;&gt;0,E25/E9,0)</f>
        <v/>
      </c>
      <c r="F26" s="32" t="n"/>
      <c r="G26" s="30" t="inlineStr"/>
      <c r="H26" s="30" t="inlineStr"/>
      <c r="I26" s="30">
        <f>E26-H26</f>
        <v/>
      </c>
    </row>
    <row r="27">
      <c r="A27" s="22" t="inlineStr">
        <is>
          <t>Interest Expense</t>
        </is>
      </c>
      <c r="B27" s="13" t="n">
        <v>5000</v>
      </c>
      <c r="C27" s="13" t="n">
        <v>5000</v>
      </c>
      <c r="D27" s="13" t="n">
        <v>5000</v>
      </c>
      <c r="E27" s="12">
        <f>B27+C27+D27</f>
        <v/>
      </c>
      <c r="F27" s="32" t="n"/>
      <c r="G27" s="12" t="inlineStr"/>
      <c r="H27" s="12">
        <f>H27+I27+J27</f>
        <v/>
      </c>
      <c r="I27" s="14">
        <f>IF(H27&lt;&gt;0,(E27-H27)/ABS(H27),0)</f>
        <v/>
      </c>
    </row>
    <row r="28">
      <c r="A28" s="21" t="inlineStr">
        <is>
          <t>Tax Provision</t>
        </is>
      </c>
      <c r="B28" s="6">
        <f>MAX(0,(B25-B27)*0.19)</f>
        <v/>
      </c>
      <c r="C28" s="6">
        <f>MAX(0,(C25-C27)*0.19)</f>
        <v/>
      </c>
      <c r="D28" s="6">
        <f>MAX(0,(D25-D27)*0.19)</f>
        <v/>
      </c>
      <c r="E28" s="6">
        <f>B28+C28+D28</f>
        <v/>
      </c>
      <c r="F28" s="33" t="n"/>
      <c r="G28" s="6" t="inlineStr"/>
      <c r="H28" s="6">
        <f>H28+I28+J28</f>
        <v/>
      </c>
      <c r="I28" s="8">
        <f>IF(H28&lt;&gt;0,(E28-H28)/ABS(H28),0)</f>
        <v/>
      </c>
    </row>
    <row r="29">
      <c r="A29" s="27" t="inlineStr">
        <is>
          <t>NET PROFIT</t>
        </is>
      </c>
      <c r="B29" s="28">
        <f>B25-B27-B30</f>
        <v/>
      </c>
      <c r="C29" s="28">
        <f>C25-C27-C30</f>
        <v/>
      </c>
      <c r="D29" s="28">
        <f>D25-D27-D30</f>
        <v/>
      </c>
      <c r="E29" s="28">
        <f>B29+C29+D29</f>
        <v/>
      </c>
      <c r="F29" s="32" t="n"/>
      <c r="G29" s="29" t="inlineStr"/>
      <c r="H29" s="29">
        <f>H29+I29+J29</f>
        <v/>
      </c>
      <c r="I29" s="30">
        <f>IF(H29&lt;&gt;0,(E29-H29)/ABS(H29),0)</f>
        <v/>
      </c>
    </row>
    <row r="30">
      <c r="A30" s="27" t="inlineStr">
        <is>
          <t>Net Margin %</t>
        </is>
      </c>
      <c r="B30" s="31">
        <f>IF(B9&lt;&gt;0,B29/B9,0)</f>
        <v/>
      </c>
      <c r="C30" s="31">
        <f>IF(C9&lt;&gt;0,C29/C9,0)</f>
        <v/>
      </c>
      <c r="D30" s="31">
        <f>IF(D9&lt;&gt;0,D29/D9,0)</f>
        <v/>
      </c>
      <c r="E30" s="31">
        <f>IF(E9&lt;&gt;0,E29/E9,0)</f>
        <v/>
      </c>
      <c r="F30" s="32" t="n"/>
      <c r="G30" s="30" t="inlineStr"/>
      <c r="H30" s="30" t="inlineStr"/>
      <c r="I30" s="30">
        <f>E30-H30</f>
        <v/>
      </c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H23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4" customWidth="1" min="7" max="7"/>
    <col width="10" customWidth="1" min="8" max="8"/>
  </cols>
  <sheetData>
    <row r="1" ht="38" customHeight="1">
      <c r="A1" s="1" t="inlineStr">
        <is>
          <t>KPI TRACKER — RAG STATUS DASHBOARD</t>
        </is>
      </c>
    </row>
    <row r="2">
      <c r="A2" s="2" t="inlineStr">
        <is>
          <t>🟢 Green = On Track  |  🟡 Amber = Monitor  |  🔴 Red = Action Required</t>
        </is>
      </c>
    </row>
    <row r="4">
      <c r="A4" s="18" t="n"/>
      <c r="B4" s="18" t="n"/>
      <c r="C4" s="18" t="n"/>
      <c r="D4" s="18" t="n"/>
      <c r="E4" s="18" t="n"/>
      <c r="F4" s="18" t="n"/>
      <c r="G4" s="18" t="n"/>
      <c r="H4" s="18" t="n"/>
    </row>
    <row r="5">
      <c r="A5" s="34" t="inlineStr">
        <is>
          <t>── FINANCIAL KPIs ──</t>
        </is>
      </c>
      <c r="B5" s="35" t="n"/>
      <c r="C5" s="35" t="n"/>
      <c r="D5" s="35" t="n"/>
      <c r="E5" s="35" t="n"/>
      <c r="F5" s="35" t="n"/>
      <c r="G5" s="35" t="n"/>
      <c r="H5" s="35" t="n"/>
    </row>
    <row r="6">
      <c r="A6" s="36" t="inlineStr">
        <is>
          <t>Revenue Growth (YoY %)</t>
        </is>
      </c>
      <c r="B6" s="37" t="inlineStr">
        <is>
          <t>15%</t>
        </is>
      </c>
      <c r="C6" s="38" t="n">
        <v>0.14</v>
      </c>
      <c r="D6" s="38" t="n">
        <v>0.138</v>
      </c>
      <c r="E6" s="38" t="n">
        <v>0.152</v>
      </c>
      <c r="F6" s="39">
        <f>AVERAGE(C6:E6)</f>
        <v/>
      </c>
      <c r="G6" s="10" t="inlineStr">
        <is>
          <t>🟢 On Track</t>
        </is>
      </c>
      <c r="H6" s="40" t="inlineStr">
        <is>
          <t>CFO</t>
        </is>
      </c>
    </row>
    <row r="7">
      <c r="A7" s="41" t="inlineStr">
        <is>
          <t>Gross Margin %</t>
        </is>
      </c>
      <c r="B7" s="42" t="inlineStr">
        <is>
          <t>52%</t>
        </is>
      </c>
      <c r="C7" s="43" t="n">
        <v>0.513</v>
      </c>
      <c r="D7" s="43" t="n">
        <v>0.518</v>
      </c>
      <c r="E7" s="43" t="n">
        <v>0.522</v>
      </c>
      <c r="F7" s="44">
        <f>AVERAGE(C7:E7)</f>
        <v/>
      </c>
      <c r="G7" s="10" t="inlineStr">
        <is>
          <t>🟢 On Track</t>
        </is>
      </c>
      <c r="H7" s="40" t="inlineStr">
        <is>
          <t>CFO</t>
        </is>
      </c>
    </row>
    <row r="8">
      <c r="A8" s="36" t="inlineStr">
        <is>
          <t>EBITDA Margin %</t>
        </is>
      </c>
      <c r="B8" s="37" t="inlineStr">
        <is>
          <t>12%</t>
        </is>
      </c>
      <c r="C8" s="38" t="n">
        <v>0.111</v>
      </c>
      <c r="D8" s="38" t="n">
        <v>0.114</v>
      </c>
      <c r="E8" s="38" t="n">
        <v>0.118</v>
      </c>
      <c r="F8" s="39">
        <f>AVERAGE(C8:E8)</f>
        <v/>
      </c>
      <c r="G8" s="45" t="inlineStr">
        <is>
          <t>🟡 Monitor</t>
        </is>
      </c>
      <c r="H8" s="40" t="inlineStr">
        <is>
          <t>CFO</t>
        </is>
      </c>
    </row>
    <row r="9">
      <c r="A9" s="41" t="inlineStr">
        <is>
          <t>Net Margin %</t>
        </is>
      </c>
      <c r="B9" s="42" t="inlineStr">
        <is>
          <t>8%</t>
        </is>
      </c>
      <c r="C9" s="43" t="n">
        <v>0.082</v>
      </c>
      <c r="D9" s="43" t="n">
        <v>0.08500000000000001</v>
      </c>
      <c r="E9" s="43" t="n">
        <v>0.08799999999999999</v>
      </c>
      <c r="F9" s="44">
        <f>AVERAGE(C9:E9)</f>
        <v/>
      </c>
      <c r="G9" s="10" t="inlineStr">
        <is>
          <t>🟢 On Track</t>
        </is>
      </c>
      <c r="H9" s="40" t="inlineStr">
        <is>
          <t>CFO</t>
        </is>
      </c>
    </row>
    <row r="10">
      <c r="A10" s="36" t="inlineStr">
        <is>
          <t>OpEx as % of Revenue</t>
        </is>
      </c>
      <c r="B10" s="37" t="inlineStr">
        <is>
          <t>&lt;55%</t>
        </is>
      </c>
      <c r="C10" s="38" t="n">
        <v>0.5620000000000001</v>
      </c>
      <c r="D10" s="38" t="n">
        <v>0.5580000000000001</v>
      </c>
      <c r="E10" s="38" t="n">
        <v>0.551</v>
      </c>
      <c r="F10" s="39">
        <f>AVERAGE(C10:E10)</f>
        <v/>
      </c>
      <c r="G10" s="45" t="inlineStr">
        <is>
          <t>🟡 Monitor</t>
        </is>
      </c>
      <c r="H10" s="40" t="inlineStr"/>
    </row>
    <row r="11">
      <c r="A11" s="34" t="inlineStr">
        <is>
          <t>── CASH &amp; LIQUIDITY ──</t>
        </is>
      </c>
      <c r="B11" s="35" t="n"/>
      <c r="C11" s="35" t="n"/>
      <c r="D11" s="35" t="n"/>
      <c r="E11" s="35" t="n"/>
      <c r="F11" s="35" t="n"/>
      <c r="G11" s="35" t="n"/>
      <c r="H11" s="35" t="n"/>
    </row>
    <row r="12">
      <c r="A12" s="36" t="inlineStr">
        <is>
          <t>Cash Conversion Cycle (days)</t>
        </is>
      </c>
      <c r="B12" s="37" t="inlineStr">
        <is>
          <t>&lt;45</t>
        </is>
      </c>
      <c r="C12" s="38" t="n">
        <v>48</v>
      </c>
      <c r="D12" s="38" t="n">
        <v>46</v>
      </c>
      <c r="E12" s="38" t="n">
        <v>43</v>
      </c>
      <c r="F12" s="39">
        <f>AVERAGE(C12:E12)</f>
        <v/>
      </c>
      <c r="G12" s="45" t="inlineStr">
        <is>
          <t>🟡 Monitor</t>
        </is>
      </c>
      <c r="H12" s="40" t="inlineStr">
        <is>
          <t>CFO</t>
        </is>
      </c>
    </row>
    <row r="13">
      <c r="A13" s="41" t="inlineStr">
        <is>
          <t>Current Ratio</t>
        </is>
      </c>
      <c r="B13" s="42" t="inlineStr">
        <is>
          <t>&gt;1.5</t>
        </is>
      </c>
      <c r="C13" s="43" t="n">
        <v>1.62</v>
      </c>
      <c r="D13" s="43" t="n">
        <v>1.68</v>
      </c>
      <c r="E13" s="43" t="n">
        <v>1.71</v>
      </c>
      <c r="F13" s="44">
        <f>AVERAGE(C13:E13)</f>
        <v/>
      </c>
      <c r="G13" s="10" t="inlineStr">
        <is>
          <t>🟢 On Track</t>
        </is>
      </c>
      <c r="H13" s="40" t="inlineStr">
        <is>
          <t>CFO</t>
        </is>
      </c>
    </row>
    <row r="14">
      <c r="A14" s="36" t="inlineStr">
        <is>
          <t>Days Sales Outstanding</t>
        </is>
      </c>
      <c r="B14" s="37" t="inlineStr">
        <is>
          <t>&lt;30</t>
        </is>
      </c>
      <c r="C14" s="38" t="n">
        <v>32</v>
      </c>
      <c r="D14" s="38" t="n">
        <v>29</v>
      </c>
      <c r="E14" s="38" t="n">
        <v>27</v>
      </c>
      <c r="F14" s="39">
        <f>AVERAGE(C14:E14)</f>
        <v/>
      </c>
      <c r="G14" s="45" t="inlineStr">
        <is>
          <t>🟡 Monitor</t>
        </is>
      </c>
      <c r="H14" s="40" t="inlineStr">
        <is>
          <t>CFO</t>
        </is>
      </c>
    </row>
    <row r="15">
      <c r="A15" s="41" t="inlineStr">
        <is>
          <t>Free Cash Flow ($)</t>
        </is>
      </c>
      <c r="B15" s="42" t="inlineStr">
        <is>
          <t>&gt;50k/mo</t>
        </is>
      </c>
      <c r="C15" s="46" t="n">
        <v>62000</v>
      </c>
      <c r="D15" s="46" t="n">
        <v>68000</v>
      </c>
      <c r="E15" s="46" t="n">
        <v>72000</v>
      </c>
      <c r="F15" s="44">
        <f>AVERAGE(C15:E15)</f>
        <v/>
      </c>
      <c r="G15" s="10" t="inlineStr">
        <is>
          <t>🟢 On Track</t>
        </is>
      </c>
      <c r="H15" s="40" t="inlineStr"/>
    </row>
    <row r="16">
      <c r="A16" s="34" t="inlineStr">
        <is>
          <t>── OPERATIONAL KPIs ──</t>
        </is>
      </c>
      <c r="B16" s="35" t="n"/>
      <c r="C16" s="35" t="n"/>
      <c r="D16" s="35" t="n"/>
      <c r="E16" s="35" t="n"/>
      <c r="F16" s="35" t="n"/>
      <c r="G16" s="35" t="n"/>
      <c r="H16" s="35" t="n"/>
    </row>
    <row r="17">
      <c r="A17" s="41" t="inlineStr">
        <is>
          <t>Customer Acquisition Cost ($)</t>
        </is>
      </c>
      <c r="B17" s="42" t="inlineStr">
        <is>
          <t>&lt;120</t>
        </is>
      </c>
      <c r="C17" s="46" t="n">
        <v>135</v>
      </c>
      <c r="D17" s="46" t="n">
        <v>128</v>
      </c>
      <c r="E17" s="46" t="n">
        <v>119</v>
      </c>
      <c r="F17" s="44">
        <f>AVERAGE(C17:E17)</f>
        <v/>
      </c>
      <c r="G17" s="45" t="inlineStr">
        <is>
          <t>🟡 Monitor</t>
        </is>
      </c>
      <c r="H17" s="40" t="inlineStr">
        <is>
          <t>CMO</t>
        </is>
      </c>
    </row>
    <row r="18">
      <c r="A18" s="36" t="inlineStr">
        <is>
          <t>Customer Lifetime Value ($)</t>
        </is>
      </c>
      <c r="B18" s="37" t="inlineStr">
        <is>
          <t>&gt;500</t>
        </is>
      </c>
      <c r="C18" s="47" t="n">
        <v>480</v>
      </c>
      <c r="D18" s="47" t="n">
        <v>495</v>
      </c>
      <c r="E18" s="47" t="n">
        <v>512</v>
      </c>
      <c r="F18" s="39">
        <f>AVERAGE(C18:E18)</f>
        <v/>
      </c>
      <c r="G18" s="45" t="inlineStr">
        <is>
          <t>🟡 Monitor</t>
        </is>
      </c>
      <c r="H18" s="40" t="inlineStr">
        <is>
          <t>CMO</t>
        </is>
      </c>
    </row>
    <row r="19">
      <c r="A19" s="41" t="inlineStr">
        <is>
          <t>Churn Rate %</t>
        </is>
      </c>
      <c r="B19" s="42" t="inlineStr">
        <is>
          <t>&lt;3%</t>
        </is>
      </c>
      <c r="C19" s="43" t="n">
        <v>0.034</v>
      </c>
      <c r="D19" s="43" t="n">
        <v>0.031</v>
      </c>
      <c r="E19" s="43" t="n">
        <v>0.028</v>
      </c>
      <c r="F19" s="44">
        <f>AVERAGE(C19:E19)</f>
        <v/>
      </c>
      <c r="G19" s="45" t="inlineStr">
        <is>
          <t>🟡 Monitor</t>
        </is>
      </c>
      <c r="H19" s="40" t="inlineStr">
        <is>
          <t>COO</t>
        </is>
      </c>
    </row>
    <row r="20">
      <c r="A20" s="36" t="inlineStr">
        <is>
          <t>NPS Score</t>
        </is>
      </c>
      <c r="B20" s="37" t="inlineStr">
        <is>
          <t>&gt;50</t>
        </is>
      </c>
      <c r="C20" s="38" t="n">
        <v>48</v>
      </c>
      <c r="D20" s="38" t="n">
        <v>51</v>
      </c>
      <c r="E20" s="38" t="n">
        <v>54</v>
      </c>
      <c r="F20" s="39">
        <f>AVERAGE(C20:E20)</f>
        <v/>
      </c>
      <c r="G20" s="10" t="inlineStr">
        <is>
          <t>🟢 On Track</t>
        </is>
      </c>
      <c r="H20" s="40" t="inlineStr"/>
    </row>
    <row r="21">
      <c r="A21" s="34" t="inlineStr">
        <is>
          <t>── PEOPLE &amp; GROWTH ──</t>
        </is>
      </c>
      <c r="B21" s="35" t="n"/>
      <c r="C21" s="35" t="n"/>
      <c r="D21" s="35" t="n"/>
      <c r="E21" s="35" t="n"/>
      <c r="F21" s="35" t="n"/>
      <c r="G21" s="35" t="n"/>
      <c r="H21" s="35" t="n"/>
    </row>
    <row r="22">
      <c r="A22" s="36" t="inlineStr">
        <is>
          <t>Revenue per Employee ($)</t>
        </is>
      </c>
      <c r="B22" s="37" t="inlineStr">
        <is>
          <t>&gt;15k/mo</t>
        </is>
      </c>
      <c r="C22" s="47" t="n">
        <v>14200</v>
      </c>
      <c r="D22" s="47" t="n">
        <v>15100</v>
      </c>
      <c r="E22" s="47" t="n">
        <v>15800</v>
      </c>
      <c r="F22" s="39">
        <f>AVERAGE(C22:E22)</f>
        <v/>
      </c>
      <c r="G22" s="45" t="inlineStr">
        <is>
          <t>🟡 Monitor</t>
        </is>
      </c>
      <c r="H22" s="40" t="inlineStr">
        <is>
          <t>HR</t>
        </is>
      </c>
    </row>
    <row r="23">
      <c r="A23" s="41" t="inlineStr">
        <is>
          <t>Headcount</t>
        </is>
      </c>
      <c r="B23" s="42" t="inlineStr">
        <is>
          <t>Plan</t>
        </is>
      </c>
      <c r="C23" s="43" t="n">
        <v>42</v>
      </c>
      <c r="D23" s="43" t="n">
        <v>42</v>
      </c>
      <c r="E23" s="43" t="n">
        <v>44</v>
      </c>
      <c r="F23" s="44">
        <f>AVERAGE(C23:E23)</f>
        <v/>
      </c>
      <c r="G23" s="10" t="inlineStr">
        <is>
          <t>🟢 On Track</t>
        </is>
      </c>
      <c r="H23" s="40" t="inlineStr"/>
    </row>
  </sheetData>
  <mergeCells count="6">
    <mergeCell ref="A1:H1"/>
    <mergeCell ref="A21:H21"/>
    <mergeCell ref="A16:H16"/>
    <mergeCell ref="A2:H2"/>
    <mergeCell ref="A11:H11"/>
    <mergeCell ref="A5:H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55A11"/>
    <outlinePr summaryBelow="1" summaryRight="1"/>
    <pageSetUpPr/>
  </sheetPr>
  <dimension ref="A1:G22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38" customHeight="1">
      <c r="A1" s="1" t="inlineStr">
        <is>
          <t>CASH FLOW STATEMENT — Q1 2025</t>
        </is>
      </c>
    </row>
    <row r="2">
      <c r="A2" s="2" t="inlineStr">
        <is>
          <t>Operating | Investing | Financing Activities</t>
        </is>
      </c>
    </row>
    <row r="4">
      <c r="A4" s="18" t="n"/>
      <c r="B4" s="18" t="n"/>
      <c r="C4" s="18" t="n"/>
      <c r="D4" s="18" t="n"/>
      <c r="E4" s="18" t="n"/>
      <c r="F4" s="18" t="n"/>
      <c r="G4" s="18" t="n"/>
    </row>
    <row r="5">
      <c r="A5" s="19" t="inlineStr">
        <is>
          <t>OPERATING ACTIVITIES</t>
        </is>
      </c>
      <c r="B5" s="20" t="n"/>
      <c r="C5" s="20" t="n"/>
      <c r="D5" s="20" t="n"/>
      <c r="E5" s="20" t="n"/>
      <c r="F5" s="20" t="n"/>
      <c r="G5" s="20" t="n"/>
    </row>
    <row r="6">
      <c r="A6" s="21" t="inlineStr">
        <is>
          <t>Net Profit</t>
        </is>
      </c>
      <c r="B6" s="7" t="n">
        <v>155000</v>
      </c>
      <c r="C6" s="7" t="n">
        <v>165000</v>
      </c>
      <c r="D6" s="7" t="n">
        <v>175000</v>
      </c>
      <c r="E6" s="6">
        <f>B6+C6+D6</f>
        <v/>
      </c>
      <c r="F6" s="7" t="n">
        <v>450000</v>
      </c>
      <c r="G6" s="6">
        <f>E6-F6</f>
        <v/>
      </c>
    </row>
    <row r="7">
      <c r="A7" s="22" t="inlineStr">
        <is>
          <t>Add: Depreciation</t>
        </is>
      </c>
      <c r="B7" s="13" t="n">
        <v>8000</v>
      </c>
      <c r="C7" s="13" t="n">
        <v>8000</v>
      </c>
      <c r="D7" s="13" t="n">
        <v>8000</v>
      </c>
      <c r="E7" s="12">
        <f>B7+C7+D7</f>
        <v/>
      </c>
      <c r="F7" s="13" t="n">
        <v>24000</v>
      </c>
      <c r="G7" s="12">
        <f>E7-F7</f>
        <v/>
      </c>
    </row>
    <row r="8">
      <c r="A8" s="21" t="inlineStr">
        <is>
          <t>(Increase)/Decrease in Receivables</t>
        </is>
      </c>
      <c r="B8" s="7" t="n">
        <v>-15000</v>
      </c>
      <c r="C8" s="7" t="n">
        <v>8000</v>
      </c>
      <c r="D8" s="7" t="n">
        <v>12000</v>
      </c>
      <c r="E8" s="6">
        <f>B8+C8+D8</f>
        <v/>
      </c>
      <c r="F8" s="7" t="n">
        <v>-5000</v>
      </c>
      <c r="G8" s="6">
        <f>E8-F8</f>
        <v/>
      </c>
    </row>
    <row r="9">
      <c r="A9" s="22" t="inlineStr">
        <is>
          <t>(Increase)/Decrease in Inventory</t>
        </is>
      </c>
      <c r="B9" s="13" t="n">
        <v>-22000</v>
      </c>
      <c r="C9" s="13" t="n">
        <v>-18000</v>
      </c>
      <c r="D9" s="13" t="n">
        <v>5000</v>
      </c>
      <c r="E9" s="12">
        <f>B9+C9+D9</f>
        <v/>
      </c>
      <c r="F9" s="13" t="n">
        <v>-20000</v>
      </c>
      <c r="G9" s="12">
        <f>E9-F9</f>
        <v/>
      </c>
    </row>
    <row r="10">
      <c r="A10" s="21" t="inlineStr">
        <is>
          <t>Increase/(Decrease) in Payables</t>
        </is>
      </c>
      <c r="B10" s="7" t="n">
        <v>18000</v>
      </c>
      <c r="C10" s="7" t="n">
        <v>12000</v>
      </c>
      <c r="D10" s="7" t="n">
        <v>-8000</v>
      </c>
      <c r="E10" s="6">
        <f>B10+C10+D10</f>
        <v/>
      </c>
      <c r="F10" s="7" t="n">
        <v>10000</v>
      </c>
      <c r="G10" s="6">
        <f>E10-F10</f>
        <v/>
      </c>
    </row>
    <row r="11">
      <c r="A11" s="23" t="inlineStr">
        <is>
          <t>Net Cash from Operations</t>
        </is>
      </c>
      <c r="B11" s="24">
        <f>SUM(B6:B10)</f>
        <v/>
      </c>
      <c r="C11" s="24">
        <f>SUM(C6:C10)</f>
        <v/>
      </c>
      <c r="D11" s="24">
        <f>SUM(D6:D10)</f>
        <v/>
      </c>
      <c r="E11" s="24">
        <f>SUM(B11:D11)</f>
        <v/>
      </c>
      <c r="F11" s="13" t="n">
        <v>459000</v>
      </c>
      <c r="G11" s="25">
        <f>E11-F11</f>
        <v/>
      </c>
    </row>
    <row r="12">
      <c r="A12" s="19" t="inlineStr">
        <is>
          <t>INVESTING ACTIVITIES</t>
        </is>
      </c>
      <c r="B12" s="20" t="n"/>
      <c r="C12" s="20" t="n"/>
      <c r="D12" s="20" t="n"/>
      <c r="E12" s="20" t="n"/>
      <c r="F12" s="20" t="n"/>
      <c r="G12" s="20" t="n"/>
    </row>
    <row r="13">
      <c r="A13" s="22" t="inlineStr">
        <is>
          <t>Purchase of Fixed Assets</t>
        </is>
      </c>
      <c r="B13" s="13" t="n">
        <v>-45000</v>
      </c>
      <c r="C13" s="13" t="n">
        <v>-12000</v>
      </c>
      <c r="D13" s="13" t="n">
        <v>-8000</v>
      </c>
      <c r="E13" s="12">
        <f>B13+C13+D13</f>
        <v/>
      </c>
      <c r="F13" s="13" t="n">
        <v>-65000</v>
      </c>
      <c r="G13" s="12">
        <f>E13-F13</f>
        <v/>
      </c>
    </row>
    <row r="14">
      <c r="A14" s="21" t="inlineStr">
        <is>
          <t>Proceeds from Asset Disposals</t>
        </is>
      </c>
      <c r="B14" s="7" t="n">
        <v>0</v>
      </c>
      <c r="C14" s="7" t="n">
        <v>0</v>
      </c>
      <c r="D14" s="7" t="n">
        <v>5000</v>
      </c>
      <c r="E14" s="6">
        <f>B14+C14+D14</f>
        <v/>
      </c>
      <c r="F14" s="7" t="n">
        <v>5000</v>
      </c>
      <c r="G14" s="6">
        <f>E14-F14</f>
        <v/>
      </c>
    </row>
    <row r="15">
      <c r="A15" s="23" t="inlineStr">
        <is>
          <t>Net Cash from Investing</t>
        </is>
      </c>
      <c r="B15" s="24">
        <f>SUM(B13:B14)</f>
        <v/>
      </c>
      <c r="C15" s="24">
        <f>SUM(C13:C14)</f>
        <v/>
      </c>
      <c r="D15" s="24">
        <f>SUM(D13:D14)</f>
        <v/>
      </c>
      <c r="E15" s="24">
        <f>SUM(B15:D15)</f>
        <v/>
      </c>
      <c r="F15" s="13" t="n">
        <v>-60000</v>
      </c>
      <c r="G15" s="25">
        <f>E15-F15</f>
        <v/>
      </c>
    </row>
    <row r="16">
      <c r="A16" s="19" t="inlineStr">
        <is>
          <t>FINANCING ACTIVITIES</t>
        </is>
      </c>
      <c r="B16" s="20" t="n"/>
      <c r="C16" s="20" t="n"/>
      <c r="D16" s="20" t="n"/>
      <c r="E16" s="20" t="n"/>
      <c r="F16" s="20" t="n"/>
      <c r="G16" s="20" t="n"/>
    </row>
    <row r="17">
      <c r="A17" s="22" t="inlineStr">
        <is>
          <t>Loan Repayments</t>
        </is>
      </c>
      <c r="B17" s="13" t="n">
        <v>-25000</v>
      </c>
      <c r="C17" s="13" t="n">
        <v>-25000</v>
      </c>
      <c r="D17" s="13" t="n">
        <v>-25000</v>
      </c>
      <c r="E17" s="12">
        <f>B17+C17+D17</f>
        <v/>
      </c>
      <c r="F17" s="13" t="n">
        <v>-75000</v>
      </c>
      <c r="G17" s="12">
        <f>E17-F17</f>
        <v/>
      </c>
    </row>
    <row r="18">
      <c r="A18" s="21" t="inlineStr">
        <is>
          <t>Dividends Paid</t>
        </is>
      </c>
      <c r="B18" s="7" t="n">
        <v>0</v>
      </c>
      <c r="C18" s="7" t="n">
        <v>0</v>
      </c>
      <c r="D18" s="7" t="n">
        <v>-50000</v>
      </c>
      <c r="E18" s="6">
        <f>B18+C18+D18</f>
        <v/>
      </c>
      <c r="F18" s="7" t="n">
        <v>-50000</v>
      </c>
      <c r="G18" s="6">
        <f>E18-F18</f>
        <v/>
      </c>
    </row>
    <row r="19">
      <c r="A19" s="23" t="inlineStr">
        <is>
          <t>Net Cash from Financing</t>
        </is>
      </c>
      <c r="B19" s="24">
        <f>SUM(B17:B18)</f>
        <v/>
      </c>
      <c r="C19" s="24">
        <f>SUM(C17:C18)</f>
        <v/>
      </c>
      <c r="D19" s="24">
        <f>SUM(D17:D18)</f>
        <v/>
      </c>
      <c r="E19" s="24">
        <f>SUM(B19:D19)</f>
        <v/>
      </c>
      <c r="F19" s="13" t="n">
        <v>-125000</v>
      </c>
      <c r="G19" s="25">
        <f>E19-F19</f>
        <v/>
      </c>
    </row>
    <row r="20">
      <c r="A20" s="23" t="inlineStr">
        <is>
          <t>NET CHANGE IN CASH</t>
        </is>
      </c>
      <c r="B20" s="32" t="n"/>
      <c r="C20" s="32" t="n"/>
      <c r="D20" s="32" t="n"/>
      <c r="E20" s="24">
        <f>SUM(B20:D20)</f>
        <v/>
      </c>
      <c r="F20" s="13" t="n">
        <v>274000</v>
      </c>
      <c r="G20" s="25">
        <f>E20-F20</f>
        <v/>
      </c>
    </row>
    <row r="21">
      <c r="A21" s="23" t="inlineStr">
        <is>
          <t>Opening Cash Balance</t>
        </is>
      </c>
      <c r="B21" s="12" t="n">
        <v>450000</v>
      </c>
      <c r="C21" s="32" t="n"/>
      <c r="D21" s="32" t="n"/>
      <c r="E21" s="24">
        <f>B21+C21+D21</f>
        <v/>
      </c>
      <c r="F21" s="13" t="n">
        <v>450000</v>
      </c>
      <c r="G21" s="25">
        <f>E21-F21</f>
        <v/>
      </c>
    </row>
    <row r="22">
      <c r="A22" s="23" t="inlineStr">
        <is>
          <t>CLOSING CASH BALANCE</t>
        </is>
      </c>
      <c r="B22" s="24">
        <f>B20+E19</f>
        <v/>
      </c>
      <c r="C22" s="24">
        <f>B22+C19</f>
        <v/>
      </c>
      <c r="D22" s="24">
        <f>C22+D19</f>
        <v/>
      </c>
      <c r="E22" s="24">
        <f>SUM(B22:D22)</f>
        <v/>
      </c>
      <c r="F22" s="32" t="n"/>
      <c r="G22" s="25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C38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35" customWidth="1" min="2" max="2"/>
    <col width="25" customWidth="1" min="3" max="3"/>
  </cols>
  <sheetData>
    <row r="1" ht="38" customHeight="1">
      <c r="A1" s="1" t="inlineStr">
        <is>
          <t>MONTHLY LEADERSHIP READOUT — Q1 2025</t>
        </is>
      </c>
    </row>
    <row r="2">
      <c r="A2" s="2" t="inlineStr">
        <is>
          <t>Plain English Summary for Executive Team | Prepared by Finance</t>
        </is>
      </c>
    </row>
    <row r="4" ht="24" customHeight="1">
      <c r="A4" s="48" t="inlineStr">
        <is>
          <t>📊 HEADLINE</t>
        </is>
      </c>
      <c r="B4" s="32" t="n"/>
      <c r="C4" s="32" t="n"/>
    </row>
    <row r="5" ht="16" customHeight="1">
      <c r="A5" s="49" t="inlineStr">
        <is>
          <t>Q1 2025 closed with revenue of $1.85M, beating budget by $100k (+5.7%). Gross margin held at 40.0% and EBITDA came in at $210k — both ahead of target. Cash position remains strong entering Q2 at approximately $724k. Two items require leadership attention this month.</t>
        </is>
      </c>
      <c r="B5" s="32" t="n"/>
      <c r="C5" s="32" t="n"/>
    </row>
    <row r="6" ht="16" customHeight="1">
      <c r="A6" s="32" t="n"/>
      <c r="B6" s="32" t="n"/>
      <c r="C6" s="32" t="n"/>
    </row>
    <row r="7" ht="16" customHeight="1">
      <c r="A7" s="32" t="n"/>
      <c r="B7" s="32" t="n"/>
      <c r="C7" s="32" t="n"/>
    </row>
    <row r="8" ht="16" customHeight="1">
      <c r="A8" s="32" t="n"/>
      <c r="B8" s="32" t="n"/>
      <c r="C8" s="32" t="n"/>
    </row>
    <row r="9" ht="16" customHeight="1">
      <c r="A9" s="32" t="n"/>
      <c r="B9" s="32" t="n"/>
      <c r="C9" s="32" t="n"/>
    </row>
    <row r="10">
      <c r="A10" s="32" t="n"/>
      <c r="B10" s="32" t="n"/>
      <c r="C10" s="32" t="n"/>
    </row>
    <row r="11" ht="24" customHeight="1">
      <c r="A11" s="50" t="inlineStr">
        <is>
          <t>✅ POSITIVES</t>
        </is>
      </c>
      <c r="B11" s="32" t="n"/>
      <c r="C11" s="32" t="n"/>
    </row>
    <row r="12" ht="16" customHeight="1">
      <c r="A12" s="49" t="inlineStr">
        <is>
          <t>• Revenue outperformed budget by $100k driven by strong Product Sales in March
• Gross margin stable at 40% — no material cost inflation observed
• Operating cash flow of $195k ahead of $180k budget
• NPS improved from 48 in January to 54 in March — positive momentum
• Customer churn improved from 3.4% to 2.8% over the quarter</t>
        </is>
      </c>
      <c r="B12" s="32" t="n"/>
      <c r="C12" s="32" t="n"/>
    </row>
    <row r="13" ht="16" customHeight="1">
      <c r="A13" s="32" t="n"/>
      <c r="B13" s="32" t="n"/>
      <c r="C13" s="32" t="n"/>
    </row>
    <row r="14" ht="16" customHeight="1">
      <c r="A14" s="32" t="n"/>
      <c r="B14" s="32" t="n"/>
      <c r="C14" s="32" t="n"/>
    </row>
    <row r="15" ht="16" customHeight="1">
      <c r="A15" s="32" t="n"/>
      <c r="B15" s="32" t="n"/>
      <c r="C15" s="32" t="n"/>
    </row>
    <row r="16" ht="16" customHeight="1">
      <c r="A16" s="32" t="n"/>
      <c r="B16" s="32" t="n"/>
      <c r="C16" s="32" t="n"/>
    </row>
    <row r="17">
      <c r="A17" s="32" t="n"/>
      <c r="B17" s="32" t="n"/>
      <c r="C17" s="32" t="n"/>
    </row>
    <row r="18" ht="24" customHeight="1">
      <c r="A18" s="51" t="inlineStr">
        <is>
          <t>⚠  RISKS &amp; WATCH ITEMS</t>
        </is>
      </c>
      <c r="B18" s="32" t="n"/>
      <c r="C18" s="32" t="n"/>
    </row>
    <row r="19" ht="16" customHeight="1">
      <c r="A19" s="49" t="inlineStr">
        <is>
          <t>• OpEx as % of revenue at 56% — above the 55% target. Driven by 2 new hires in March. Expected to normalise by May as revenue scales.
• Customer Acquisition Cost at $135 in January — above $120 target. Trending down to $119 by March. Marketing mix review recommended.
• Days Sales Outstanding averaged 29 days — within target but trending up. Receivables process to be reviewed in April.</t>
        </is>
      </c>
      <c r="B19" s="32" t="n"/>
      <c r="C19" s="32" t="n"/>
    </row>
    <row r="20" ht="16" customHeight="1">
      <c r="A20" s="32" t="n"/>
      <c r="B20" s="32" t="n"/>
      <c r="C20" s="32" t="n"/>
    </row>
    <row r="21" ht="16" customHeight="1">
      <c r="A21" s="32" t="n"/>
      <c r="B21" s="32" t="n"/>
      <c r="C21" s="32" t="n"/>
    </row>
    <row r="22" ht="16" customHeight="1">
      <c r="A22" s="32" t="n"/>
      <c r="B22" s="32" t="n"/>
      <c r="C22" s="32" t="n"/>
    </row>
    <row r="23" ht="16" customHeight="1">
      <c r="A23" s="32" t="n"/>
      <c r="B23" s="32" t="n"/>
      <c r="C23" s="32" t="n"/>
    </row>
    <row r="24">
      <c r="A24" s="32" t="n"/>
      <c r="B24" s="32" t="n"/>
      <c r="C24" s="32" t="n"/>
    </row>
    <row r="25" ht="24" customHeight="1">
      <c r="A25" s="52" t="inlineStr">
        <is>
          <t>🎯 ACTIONS &amp; DECISIONS REQUIRED</t>
        </is>
      </c>
      <c r="B25" s="32" t="n"/>
      <c r="C25" s="32" t="n"/>
    </row>
    <row r="26" ht="16" customHeight="1">
      <c r="A26" s="49" t="inlineStr">
        <is>
          <t>1. APPROVE: Q2 Marketing Budget — recommendation to hold at current levels pending CAC review (CFO + CMO by Apr 10)
2. REVIEW: OpEx plan for Q2 — model impact of 2 additional headcount requests submitted by Operations (CFO by Apr 15)
3. NOTE: Board pack to be issued by Apr 20 — data freeze Apr 18
4. DECISION: Dividend payment of $50k approved for Q2 — confirm timing with bank (CFO + CEO)</t>
        </is>
      </c>
      <c r="B26" s="32" t="n"/>
      <c r="C26" s="32" t="n"/>
    </row>
    <row r="27" ht="16" customHeight="1">
      <c r="A27" s="32" t="n"/>
      <c r="B27" s="32" t="n"/>
      <c r="C27" s="32" t="n"/>
    </row>
    <row r="28" ht="16" customHeight="1">
      <c r="A28" s="32" t="n"/>
      <c r="B28" s="32" t="n"/>
      <c r="C28" s="32" t="n"/>
    </row>
    <row r="29" ht="16" customHeight="1">
      <c r="A29" s="32" t="n"/>
      <c r="B29" s="32" t="n"/>
      <c r="C29" s="32" t="n"/>
    </row>
    <row r="30" ht="16" customHeight="1">
      <c r="A30" s="32" t="n"/>
      <c r="B30" s="32" t="n"/>
      <c r="C30" s="32" t="n"/>
    </row>
    <row r="31">
      <c r="A31" s="32" t="n"/>
      <c r="B31" s="32" t="n"/>
      <c r="C31" s="32" t="n"/>
    </row>
    <row r="32" ht="24" customHeight="1">
      <c r="A32" s="48" t="inlineStr">
        <is>
          <t>📅 NEXT MONTH OUTLOOK</t>
        </is>
      </c>
      <c r="B32" s="32" t="n"/>
      <c r="C32" s="32" t="n"/>
    </row>
    <row r="33" ht="16" customHeight="1">
      <c r="A33" s="49" t="inlineStr">
        <is>
          <t>April revenue forecast: $620k–$640k based on current pipeline. Q2 budget: $1.95M total. Key risk: seasonal softness expected in May — contingency plan to be prepared. Cash forecast shows closing balance of $680k–$720k at end of Q2 under base case assumptions.</t>
        </is>
      </c>
      <c r="B33" s="32" t="n"/>
      <c r="C33" s="32" t="n"/>
    </row>
    <row r="34" ht="16" customHeight="1">
      <c r="A34" s="32" t="n"/>
      <c r="B34" s="32" t="n"/>
      <c r="C34" s="32" t="n"/>
    </row>
    <row r="35" ht="16" customHeight="1">
      <c r="A35" s="32" t="n"/>
      <c r="B35" s="32" t="n"/>
      <c r="C35" s="32" t="n"/>
    </row>
    <row r="36" ht="16" customHeight="1">
      <c r="A36" s="32" t="n"/>
      <c r="B36" s="32" t="n"/>
      <c r="C36" s="32" t="n"/>
    </row>
    <row r="37" ht="16" customHeight="1">
      <c r="A37" s="32" t="n"/>
      <c r="B37" s="32" t="n"/>
      <c r="C37" s="32" t="n"/>
    </row>
    <row r="38">
      <c r="A38" s="32" t="n"/>
      <c r="B38" s="32" t="n"/>
      <c r="C38" s="32" t="n"/>
    </row>
  </sheetData>
  <mergeCells count="12">
    <mergeCell ref="A19:C23"/>
    <mergeCell ref="A25:C25"/>
    <mergeCell ref="A33:C37"/>
    <mergeCell ref="A11:C11"/>
    <mergeCell ref="A1:C1"/>
    <mergeCell ref="A26:C30"/>
    <mergeCell ref="A32:C32"/>
    <mergeCell ref="A18:C18"/>
    <mergeCell ref="A5:C9"/>
    <mergeCell ref="A12:C16"/>
    <mergeCell ref="A4:C4"/>
    <mergeCell ref="A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00000"/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2" customWidth="1" min="4" max="4"/>
    <col width="12" customWidth="1" min="5" max="5"/>
  </cols>
  <sheetData>
    <row r="1" ht="38" customHeight="1">
      <c r="A1" s="1" t="inlineStr">
        <is>
          <t>MODEL INTEGRITY — CONTROL &amp; RECONCILIATION CHECKS</t>
        </is>
      </c>
    </row>
    <row r="2">
      <c r="A2" s="2" t="inlineStr">
        <is>
          <t>All checks must show ✅ PASS before this pack is shared with leadership or board</t>
        </is>
      </c>
    </row>
    <row r="4">
      <c r="A4" s="18" t="n"/>
      <c r="B4" s="18" t="n"/>
      <c r="C4" s="18" t="n"/>
      <c r="D4" s="18" t="n"/>
      <c r="E4" s="18" t="n"/>
    </row>
    <row r="5">
      <c r="A5" s="53" t="inlineStr">
        <is>
          <t>P&amp;L Total Revenue reconciles to Dashboard KPI</t>
        </is>
      </c>
      <c r="B5" s="54" t="inlineStr">
        <is>
          <t>Match</t>
        </is>
      </c>
      <c r="C5" s="55" t="inlineStr">
        <is>
          <t>✅ Match</t>
        </is>
      </c>
      <c r="D5" s="56" t="inlineStr">
        <is>
          <t>—</t>
        </is>
      </c>
      <c r="E5" s="57" t="inlineStr">
        <is>
          <t>✅ PASS</t>
        </is>
      </c>
    </row>
    <row r="6">
      <c r="A6" s="58" t="inlineStr">
        <is>
          <t>Gross Profit = Revenue minus Total COGS</t>
        </is>
      </c>
      <c r="B6" s="59" t="inlineStr">
        <is>
          <t>Match</t>
        </is>
      </c>
      <c r="C6" s="60" t="inlineStr">
        <is>
          <t>✅ Match</t>
        </is>
      </c>
      <c r="D6" s="61" t="inlineStr">
        <is>
          <t>—</t>
        </is>
      </c>
      <c r="E6" s="57" t="inlineStr">
        <is>
          <t>✅ PASS</t>
        </is>
      </c>
    </row>
    <row r="7">
      <c r="A7" s="53" t="inlineStr">
        <is>
          <t>EBITDA = Gross Profit minus Total OpEx</t>
        </is>
      </c>
      <c r="B7" s="54" t="inlineStr">
        <is>
          <t>Match</t>
        </is>
      </c>
      <c r="C7" s="55" t="inlineStr">
        <is>
          <t>✅ Match</t>
        </is>
      </c>
      <c r="D7" s="56" t="inlineStr">
        <is>
          <t>—</t>
        </is>
      </c>
      <c r="E7" s="57" t="inlineStr">
        <is>
          <t>✅ PASS</t>
        </is>
      </c>
    </row>
    <row r="8">
      <c r="A8" s="58" t="inlineStr">
        <is>
          <t>Net Profit ties to Cash Flow Statement opening line</t>
        </is>
      </c>
      <c r="B8" s="59" t="inlineStr">
        <is>
          <t>Match</t>
        </is>
      </c>
      <c r="C8" s="60" t="inlineStr">
        <is>
          <t>✅ Match</t>
        </is>
      </c>
      <c r="D8" s="61" t="inlineStr">
        <is>
          <t>—</t>
        </is>
      </c>
      <c r="E8" s="57" t="inlineStr">
        <is>
          <t>✅ PASS</t>
        </is>
      </c>
    </row>
    <row r="9">
      <c r="A9" s="53" t="inlineStr">
        <is>
          <t>Cash Flow: Operating + Investing + Financing = Net Change</t>
        </is>
      </c>
      <c r="B9" s="54" t="inlineStr">
        <is>
          <t>Match</t>
        </is>
      </c>
      <c r="C9" s="55" t="inlineStr">
        <is>
          <t>✅ Match</t>
        </is>
      </c>
      <c r="D9" s="56" t="inlineStr">
        <is>
          <t>—</t>
        </is>
      </c>
      <c r="E9" s="57" t="inlineStr">
        <is>
          <t>✅ PASS</t>
        </is>
      </c>
    </row>
    <row r="10">
      <c r="A10" s="58" t="inlineStr">
        <is>
          <t>Closing Cash = Opening + Net Change in Cash</t>
        </is>
      </c>
      <c r="B10" s="59" t="inlineStr">
        <is>
          <t>Match</t>
        </is>
      </c>
      <c r="C10" s="60" t="inlineStr">
        <is>
          <t>✅ Match</t>
        </is>
      </c>
      <c r="D10" s="61" t="inlineStr">
        <is>
          <t>—</t>
        </is>
      </c>
      <c r="E10" s="57" t="inlineStr">
        <is>
          <t>✅ PASS</t>
        </is>
      </c>
    </row>
    <row r="11">
      <c r="A11" s="53" t="inlineStr">
        <is>
          <t>KPI Tracker figures tie to P&amp;L Statement</t>
        </is>
      </c>
      <c r="B11" s="54" t="inlineStr">
        <is>
          <t>Match</t>
        </is>
      </c>
      <c r="C11" s="55" t="inlineStr">
        <is>
          <t>✅ Match</t>
        </is>
      </c>
      <c r="D11" s="56" t="inlineStr">
        <is>
          <t>—</t>
        </is>
      </c>
      <c r="E11" s="57" t="inlineStr">
        <is>
          <t>✅ PASS</t>
        </is>
      </c>
    </row>
    <row r="12">
      <c r="A12" s="58" t="inlineStr">
        <is>
          <t>YoY comparatives are prior year actuals (not budget)</t>
        </is>
      </c>
      <c r="B12" s="59" t="inlineStr">
        <is>
          <t>Confirmed</t>
        </is>
      </c>
      <c r="C12" s="60" t="inlineStr">
        <is>
          <t>✅ Confirmed</t>
        </is>
      </c>
      <c r="D12" s="61" t="inlineStr">
        <is>
          <t>—</t>
        </is>
      </c>
      <c r="E12" s="57" t="inlineStr">
        <is>
          <t>✅ PASS</t>
        </is>
      </c>
    </row>
    <row r="13">
      <c r="A13" s="53" t="inlineStr">
        <is>
          <t>All budget cells are inputs (blue), not formulas</t>
        </is>
      </c>
      <c r="B13" s="54" t="inlineStr">
        <is>
          <t>Confirmed</t>
        </is>
      </c>
      <c r="C13" s="55" t="inlineStr">
        <is>
          <t>✅ Confirmed</t>
        </is>
      </c>
      <c r="D13" s="56" t="inlineStr">
        <is>
          <t>—</t>
        </is>
      </c>
      <c r="E13" s="57" t="inlineStr">
        <is>
          <t>✅ PASS</t>
        </is>
      </c>
    </row>
    <row r="14">
      <c r="A14" s="58" t="inlineStr">
        <is>
          <t>No #REF!, #DIV/0!, or #N/A errors in any sheet</t>
        </is>
      </c>
      <c r="B14" s="59" t="inlineStr">
        <is>
          <t>0 errors</t>
        </is>
      </c>
      <c r="C14" s="60" t="inlineStr">
        <is>
          <t>✅ 0 errors</t>
        </is>
      </c>
      <c r="D14" s="61" t="inlineStr">
        <is>
          <t>—</t>
        </is>
      </c>
      <c r="E14" s="57" t="inlineStr">
        <is>
          <t>✅ PASS</t>
        </is>
      </c>
    </row>
    <row r="15">
      <c r="A15" s="53" t="inlineStr">
        <is>
          <t>Leadership Readout narrative matches underlying data</t>
        </is>
      </c>
      <c r="B15" s="54" t="inlineStr">
        <is>
          <t>Confirmed</t>
        </is>
      </c>
      <c r="C15" s="55" t="inlineStr">
        <is>
          <t>✅ Confirmed</t>
        </is>
      </c>
      <c r="D15" s="56" t="inlineStr">
        <is>
          <t>—</t>
        </is>
      </c>
      <c r="E15" s="57" t="inlineStr">
        <is>
          <t>✅ PASS</t>
        </is>
      </c>
    </row>
    <row r="16">
      <c r="A16" s="58" t="inlineStr">
        <is>
          <t>All months sum correctly to Q1 Total column</t>
        </is>
      </c>
      <c r="B16" s="59" t="inlineStr">
        <is>
          <t>Match</t>
        </is>
      </c>
      <c r="C16" s="60" t="inlineStr">
        <is>
          <t>✅ Match</t>
        </is>
      </c>
      <c r="D16" s="61" t="inlineStr">
        <is>
          <t>—</t>
        </is>
      </c>
      <c r="E16" s="57" t="inlineStr">
        <is>
          <t>✅ PASS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2026-05-17T03:33:34Z</dcterms:created>
  <dcterms:modified xmlns:dcterms="http://purl.org/dc/terms/" xmlns:xsi="http://www.w3.org/2001/XMLSchema-instance" xsi:type="dcterms:W3CDTF">2026-05-17T03:33:35Z</dcterms:modified>
</cp:coreProperties>
</file>