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Model" sheetId="1" state="visible" r:id="rId1"/>
    <sheet xmlns:r="http://schemas.openxmlformats.org/officeDocument/2006/relationships" name="Hiring Cost Model" sheetId="2" state="visible" r:id="rId2"/>
    <sheet xmlns:r="http://schemas.openxmlformats.org/officeDocument/2006/relationships" name="Break-Even Analysis" sheetId="3" state="visible" r:id="rId3"/>
    <sheet xmlns:r="http://schemas.openxmlformats.org/officeDocument/2006/relationships" name="Budget vs Actual" sheetId="4" state="visible" r:id="rId4"/>
    <sheet xmlns:r="http://schemas.openxmlformats.org/officeDocument/2006/relationships" name="How To Use" sheetId="5" state="visible" r:id="rId5"/>
    <sheet xmlns:r="http://schemas.openxmlformats.org/officeDocument/2006/relationships" name="Control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;(0.0%);&quot;-&quot;"/>
    <numFmt numFmtId="165" formatCode="#,##0;(#,##0);&quot;-&quot;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C00000"/>
      <sz val="10"/>
    </font>
    <font>
      <name val="Arial"/>
      <i val="1"/>
      <color rgb="002E75B6"/>
      <sz val="9"/>
    </font>
    <font>
      <name val="Arial"/>
      <color rgb="00C00000"/>
      <sz val="10"/>
    </font>
    <font>
      <name val="Arial"/>
      <color rgb="00375623"/>
      <sz val="10"/>
    </font>
    <font>
      <name val="Arial"/>
      <b val="1"/>
      <color rgb="00FFFFFF"/>
      <sz val="11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DF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0000FF"/>
      </patternFill>
    </fill>
    <fill>
      <patternFill patternType="solid">
        <fgColor rgb="00375623"/>
      </patternFill>
    </fill>
    <fill>
      <patternFill patternType="solid">
        <fgColor rgb="007F6000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2" fillId="7" borderId="1" pivotButton="0" quotePrefix="0" xfId="0"/>
    <xf numFmtId="164" fontId="6" fillId="5" borderId="1" applyAlignment="1" pivotButton="0" quotePrefix="0" xfId="0">
      <alignment horizontal="right" vertical="center"/>
    </xf>
    <xf numFmtId="164" fontId="6" fillId="4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2" fillId="0" borderId="1" pivotButton="0" quotePrefix="0" xfId="0"/>
    <xf numFmtId="165" fontId="6" fillId="5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left"/>
    </xf>
    <xf numFmtId="0" fontId="8" fillId="7" borderId="1" applyAlignment="1" pivotButton="0" quotePrefix="0" xfId="0">
      <alignment horizontal="center"/>
    </xf>
    <xf numFmtId="165" fontId="4" fillId="7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/>
    </xf>
    <xf numFmtId="165" fontId="6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/>
    </xf>
    <xf numFmtId="164" fontId="6" fillId="0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/>
    </xf>
    <xf numFmtId="165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5" fontId="4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7" fillId="0" borderId="1" applyAlignment="1" pivotButton="0" quotePrefix="0" xfId="0">
      <alignment horizontal="left" vertical="center" indent="2"/>
    </xf>
    <xf numFmtId="165" fontId="3" fillId="2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indent="3"/>
    </xf>
    <xf numFmtId="165" fontId="13" fillId="5" borderId="1" applyAlignment="1" pivotButton="0" quotePrefix="0" xfId="0">
      <alignment horizontal="right"/>
    </xf>
    <xf numFmtId="165" fontId="14" fillId="6" borderId="1" applyAlignment="1" pivotButton="0" quotePrefix="0" xfId="0">
      <alignment horizontal="right"/>
    </xf>
    <xf numFmtId="165" fontId="0" fillId="4" borderId="1" pivotButton="0" quotePrefix="0" xfId="0"/>
    <xf numFmtId="0" fontId="15" fillId="3" borderId="1" applyAlignment="1" pivotButton="0" quotePrefix="0" xfId="0">
      <alignment horizontal="left" vertical="center"/>
    </xf>
    <xf numFmtId="0" fontId="16" fillId="7" borderId="1" applyAlignment="1" pivotButton="0" quotePrefix="0" xfId="0">
      <alignment horizontal="left" vertical="top" wrapText="1"/>
    </xf>
    <xf numFmtId="0" fontId="15" fillId="9" borderId="1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left" vertical="center"/>
    </xf>
    <xf numFmtId="0" fontId="15" fillId="12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</cols>
  <sheetData>
    <row r="1" ht="38" customHeight="1">
      <c r="A1" s="1" t="inlineStr">
        <is>
          <t>FINANCIAL SCENARIO MODEL — BEST / BASE / WORST CASE</t>
        </is>
      </c>
    </row>
    <row r="2">
      <c r="A2" s="2" t="inlineStr">
        <is>
          <t>Change blue cells in Assumptions column — all three scenarios update automatically | Used for board presentations and investor reporting</t>
        </is>
      </c>
    </row>
    <row r="4">
      <c r="A4" s="3" t="inlineStr">
        <is>
          <t>SCENARIO ASSUMPTIONS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5" t="inlineStr">
        <is>
          <t>Revenue Growth Rate</t>
        </is>
      </c>
      <c r="B6" s="6" t="inlineStr">
        <is>
          <t>Configurable</t>
        </is>
      </c>
      <c r="C6" s="7" t="n">
        <v>-0.05</v>
      </c>
      <c r="D6" s="8" t="n">
        <v>0.08</v>
      </c>
      <c r="E6" s="9" t="n">
        <v>0.18</v>
      </c>
      <c r="F6" s="10" t="n"/>
      <c r="G6" s="10" t="n"/>
      <c r="H6" s="10" t="n"/>
    </row>
    <row r="7">
      <c r="A7" s="11" t="inlineStr">
        <is>
          <t>Gross Margin %</t>
        </is>
      </c>
      <c r="B7" s="12" t="inlineStr">
        <is>
          <t>Configurable</t>
        </is>
      </c>
      <c r="C7" s="7" t="n">
        <v>0.35</v>
      </c>
      <c r="D7" s="8" t="n">
        <v>0.4</v>
      </c>
      <c r="E7" s="9" t="n">
        <v>0.46</v>
      </c>
      <c r="F7" s="10" t="n"/>
      <c r="G7" s="10" t="n"/>
      <c r="H7" s="10" t="n"/>
    </row>
    <row r="8">
      <c r="A8" s="5" t="inlineStr">
        <is>
          <t>OpEx Growth Rate</t>
        </is>
      </c>
      <c r="B8" s="6" t="inlineStr">
        <is>
          <t>Configurable</t>
        </is>
      </c>
      <c r="C8" s="7" t="n">
        <v>0.12</v>
      </c>
      <c r="D8" s="8" t="n">
        <v>0.06</v>
      </c>
      <c r="E8" s="9" t="n">
        <v>0.02</v>
      </c>
      <c r="F8" s="10" t="n"/>
      <c r="G8" s="10" t="n"/>
      <c r="H8" s="10" t="n"/>
    </row>
    <row r="9">
      <c r="A9" s="11" t="inlineStr">
        <is>
          <t>Customer Churn Rate</t>
        </is>
      </c>
      <c r="B9" s="12" t="inlineStr">
        <is>
          <t>Configurable</t>
        </is>
      </c>
      <c r="C9" s="7" t="n">
        <v>0.06</v>
      </c>
      <c r="D9" s="8" t="n">
        <v>0.03</v>
      </c>
      <c r="E9" s="9" t="n">
        <v>0.015</v>
      </c>
      <c r="F9" s="10" t="n"/>
      <c r="G9" s="10" t="n"/>
      <c r="H9" s="10" t="n"/>
    </row>
    <row r="10">
      <c r="A10" s="5" t="inlineStr">
        <is>
          <t>New Customer Growth</t>
        </is>
      </c>
      <c r="B10" s="6" t="inlineStr">
        <is>
          <t>Configurable</t>
        </is>
      </c>
      <c r="C10" s="7" t="n">
        <v>-0.05</v>
      </c>
      <c r="D10" s="8" t="n">
        <v>0.12</v>
      </c>
      <c r="E10" s="9" t="n">
        <v>0.22</v>
      </c>
      <c r="F10" s="10" t="n"/>
      <c r="G10" s="10" t="n"/>
      <c r="H10" s="10" t="n"/>
    </row>
    <row r="11">
      <c r="A11" s="11" t="inlineStr">
        <is>
          <t>Average Order Value ($)</t>
        </is>
      </c>
      <c r="B11" s="12" t="inlineStr">
        <is>
          <t>Configurable</t>
        </is>
      </c>
      <c r="C11" s="13" t="n">
        <v>82</v>
      </c>
      <c r="D11" s="14" t="n">
        <v>95</v>
      </c>
      <c r="E11" s="15" t="n">
        <v>115</v>
      </c>
      <c r="F11" s="10" t="n"/>
      <c r="G11" s="10" t="n"/>
      <c r="H11" s="10" t="n"/>
    </row>
    <row r="12">
      <c r="A12" s="5" t="inlineStr">
        <is>
          <t>Marketing ROI (x)</t>
        </is>
      </c>
      <c r="B12" s="6" t="inlineStr">
        <is>
          <t>Configurable</t>
        </is>
      </c>
      <c r="C12" s="13" t="n">
        <v>2.1</v>
      </c>
      <c r="D12" s="14" t="n">
        <v>3.5</v>
      </c>
      <c r="E12" s="15" t="n">
        <v>4.8</v>
      </c>
      <c r="F12" s="10" t="n"/>
      <c r="G12" s="10" t="n"/>
      <c r="H12" s="10" t="n"/>
    </row>
    <row r="13">
      <c r="A13" s="11" t="inlineStr">
        <is>
          <t>Headcount Growth</t>
        </is>
      </c>
      <c r="B13" s="12" t="inlineStr">
        <is>
          <t>Configurable</t>
        </is>
      </c>
      <c r="C13" s="7" t="n">
        <v>0.05</v>
      </c>
      <c r="D13" s="8" t="n">
        <v>0.1</v>
      </c>
      <c r="E13" s="9" t="n">
        <v>0.15</v>
      </c>
      <c r="F13" s="10" t="n"/>
      <c r="G13" s="10" t="n"/>
      <c r="H13" s="10" t="n"/>
    </row>
    <row r="15">
      <c r="A15" s="3" t="inlineStr">
        <is>
          <t>SCENARIO P&amp;L SUMMARY — NEXT 12 MONTHS</t>
        </is>
      </c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11" t="inlineStr">
        <is>
          <t>Revenue ($)</t>
        </is>
      </c>
      <c r="B17" s="16" t="n">
        <v>1850000</v>
      </c>
      <c r="C17" s="17" t="n">
        <v>1757500</v>
      </c>
      <c r="D17" s="18">
        <f>IF(B17&lt;&gt;0,(C17-B17)/ABS(B17),0)</f>
        <v/>
      </c>
      <c r="E17" s="19" t="n">
        <v>1998000</v>
      </c>
      <c r="F17" s="20">
        <f>IF(B17&lt;&gt;0,(E17-B17)/ABS(B17),0)</f>
        <v/>
      </c>
      <c r="G17" s="21" t="n">
        <v>2183000</v>
      </c>
      <c r="H17" s="22">
        <f>IF(B17&lt;&gt;0,(G17-B17)/ABS(B17),0)</f>
        <v/>
      </c>
    </row>
    <row r="18">
      <c r="A18" s="5" t="inlineStr">
        <is>
          <t>Gross Profit ($)</t>
        </is>
      </c>
      <c r="B18" s="23" t="n">
        <v>740000</v>
      </c>
      <c r="C18" s="17" t="n">
        <v>615125</v>
      </c>
      <c r="D18" s="18">
        <f>IF(B18&lt;&gt;0,(C18-B18)/ABS(B18),0)</f>
        <v/>
      </c>
      <c r="E18" s="19" t="n">
        <v>799200</v>
      </c>
      <c r="F18" s="20">
        <f>IF(B18&lt;&gt;0,(E18-B18)/ABS(B18),0)</f>
        <v/>
      </c>
      <c r="G18" s="21" t="n">
        <v>1004180</v>
      </c>
      <c r="H18" s="22">
        <f>IF(B18&lt;&gt;0,(G18-B18)/ABS(B18),0)</f>
        <v/>
      </c>
    </row>
    <row r="19">
      <c r="A19" s="11" t="inlineStr">
        <is>
          <t>Gross Margin %</t>
        </is>
      </c>
      <c r="B19" s="24" t="n">
        <v>0.4</v>
      </c>
      <c r="C19" s="18" t="n">
        <v>0.35</v>
      </c>
      <c r="D19" s="18">
        <f>IF(B19&lt;&gt;0,(C19-B19)/ABS(B19),0)</f>
        <v/>
      </c>
      <c r="E19" s="20" t="n">
        <v>0.4</v>
      </c>
      <c r="F19" s="20">
        <f>IF(B19&lt;&gt;0,(E19-B19)/ABS(B19),0)</f>
        <v/>
      </c>
      <c r="G19" s="22" t="n">
        <v>0.46</v>
      </c>
      <c r="H19" s="22">
        <f>IF(B19&lt;&gt;0,(G19-B19)/ABS(B19),0)</f>
        <v/>
      </c>
    </row>
    <row r="20">
      <c r="A20" s="5" t="inlineStr">
        <is>
          <t>Total OpEx ($)</t>
        </is>
      </c>
      <c r="B20" s="23" t="n">
        <v>628000</v>
      </c>
      <c r="C20" s="17" t="n">
        <v>703360</v>
      </c>
      <c r="D20" s="18">
        <f>IF(B20&lt;&gt;0,(C20-B20)/ABS(B20),0)</f>
        <v/>
      </c>
      <c r="E20" s="19" t="n">
        <v>665680</v>
      </c>
      <c r="F20" s="20">
        <f>IF(B20&lt;&gt;0,(E20-B20)/ABS(B20),0)</f>
        <v/>
      </c>
      <c r="G20" s="21" t="n">
        <v>640560</v>
      </c>
      <c r="H20" s="22">
        <f>IF(B20&lt;&gt;0,(G20-B20)/ABS(B20),0)</f>
        <v/>
      </c>
    </row>
    <row r="21">
      <c r="A21" s="11" t="inlineStr">
        <is>
          <t>EBITDA ($)</t>
        </is>
      </c>
      <c r="B21" s="16" t="n">
        <v>112000</v>
      </c>
      <c r="C21" s="17" t="n">
        <v>-88235</v>
      </c>
      <c r="D21" s="18">
        <f>IF(B21&lt;&gt;0,(C21-B21)/ABS(B21),0)</f>
        <v/>
      </c>
      <c r="E21" s="19" t="n">
        <v>133520</v>
      </c>
      <c r="F21" s="20">
        <f>IF(B21&lt;&gt;0,(E21-B21)/ABS(B21),0)</f>
        <v/>
      </c>
      <c r="G21" s="21" t="n">
        <v>363620</v>
      </c>
      <c r="H21" s="22">
        <f>IF(B21&lt;&gt;0,(G21-B21)/ABS(B21),0)</f>
        <v/>
      </c>
    </row>
    <row r="22">
      <c r="A22" s="5" t="inlineStr">
        <is>
          <t>EBITDA Margin %</t>
        </is>
      </c>
      <c r="B22" s="25" t="n">
        <v>0.06</v>
      </c>
      <c r="C22" s="18" t="n">
        <v>-0.05</v>
      </c>
      <c r="D22" s="18">
        <f>IF(B22&lt;&gt;0,(C22-B22)/ABS(B22),0)</f>
        <v/>
      </c>
      <c r="E22" s="20" t="n">
        <v>0.07000000000000001</v>
      </c>
      <c r="F22" s="20">
        <f>IF(B22&lt;&gt;0,(E22-B22)/ABS(B22),0)</f>
        <v/>
      </c>
      <c r="G22" s="22" t="n">
        <v>0.17</v>
      </c>
      <c r="H22" s="22">
        <f>IF(B22&lt;&gt;0,(G22-B22)/ABS(B22),0)</f>
        <v/>
      </c>
    </row>
    <row r="23">
      <c r="A23" s="11" t="inlineStr">
        <is>
          <t>Net Profit ($)</t>
        </is>
      </c>
      <c r="B23" s="16" t="n">
        <v>82000</v>
      </c>
      <c r="C23" s="17" t="n">
        <v>-110000</v>
      </c>
      <c r="D23" s="18">
        <f>IF(B23&lt;&gt;0,(C23-B23)/ABS(B23),0)</f>
        <v/>
      </c>
      <c r="E23" s="19" t="n">
        <v>98000</v>
      </c>
      <c r="F23" s="20">
        <f>IF(B23&lt;&gt;0,(E23-B23)/ABS(B23),0)</f>
        <v/>
      </c>
      <c r="G23" s="21" t="n">
        <v>295000</v>
      </c>
      <c r="H23" s="22">
        <f>IF(B23&lt;&gt;0,(G23-B23)/ABS(B23),0)</f>
        <v/>
      </c>
    </row>
    <row r="24">
      <c r="A24" s="5" t="inlineStr">
        <is>
          <t>Net Margin %</t>
        </is>
      </c>
      <c r="B24" s="25" t="n">
        <v>0.04</v>
      </c>
      <c r="C24" s="18" t="n">
        <v>-0.06</v>
      </c>
      <c r="D24" s="18">
        <f>IF(B24&lt;&gt;0,(C24-B24)/ABS(B24),0)</f>
        <v/>
      </c>
      <c r="E24" s="20" t="n">
        <v>0.05</v>
      </c>
      <c r="F24" s="20">
        <f>IF(B24&lt;&gt;0,(E24-B24)/ABS(B24),0)</f>
        <v/>
      </c>
      <c r="G24" s="22" t="n">
        <v>0.14</v>
      </c>
      <c r="H24" s="22">
        <f>IF(B24&lt;&gt;0,(G24-B24)/ABS(B24),0)</f>
        <v/>
      </c>
    </row>
    <row r="25">
      <c r="A25" s="11" t="inlineStr">
        <is>
          <t>Cash Position (YE)</t>
        </is>
      </c>
      <c r="B25" s="16" t="n">
        <v>724000</v>
      </c>
      <c r="C25" s="17" t="n">
        <v>380000</v>
      </c>
      <c r="D25" s="18">
        <f>IF(B25&lt;&gt;0,(C25-B25)/ABS(B25),0)</f>
        <v/>
      </c>
      <c r="E25" s="19" t="n">
        <v>820000</v>
      </c>
      <c r="F25" s="20">
        <f>IF(B25&lt;&gt;0,(E25-B25)/ABS(B25),0)</f>
        <v/>
      </c>
      <c r="G25" s="21" t="n">
        <v>1250000</v>
      </c>
      <c r="H25" s="22">
        <f>IF(B25&lt;&gt;0,(G25-B25)/ABS(B25),0)</f>
        <v/>
      </c>
    </row>
    <row r="26">
      <c r="A26" s="5" t="inlineStr">
        <is>
          <t>Headcount (YE)</t>
        </is>
      </c>
      <c r="B26" s="23" t="n">
        <v>44</v>
      </c>
      <c r="C26" s="17" t="n">
        <v>46</v>
      </c>
      <c r="D26" s="18">
        <f>IF(B26&lt;&gt;0,(C26-B26)/ABS(B26),0)</f>
        <v/>
      </c>
      <c r="E26" s="19" t="n">
        <v>48</v>
      </c>
      <c r="F26" s="20">
        <f>IF(B26&lt;&gt;0,(E26-B26)/ABS(B26),0)</f>
        <v/>
      </c>
      <c r="G26" s="21" t="n">
        <v>52</v>
      </c>
      <c r="H26" s="22">
        <f>IF(B26&lt;&gt;0,(G26-B26)/ABS(B26),0)</f>
        <v/>
      </c>
    </row>
  </sheetData>
  <mergeCells count="4">
    <mergeCell ref="A15:H15"/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14" customWidth="1" min="4" max="4"/>
    <col width="16" customWidth="1" min="5" max="5"/>
    <col width="14" customWidth="1" min="6" max="6"/>
    <col width="16" customWidth="1" min="7" max="7"/>
  </cols>
  <sheetData>
    <row r="1" ht="38" customHeight="1">
      <c r="A1" s="1" t="inlineStr">
        <is>
          <t>FULL-TIME HIRE AFFORDABILITY MODEL — SCENARIO ANALYSIS</t>
        </is>
      </c>
    </row>
    <row r="2">
      <c r="A2" s="2" t="inlineStr">
        <is>
          <t>Change blue cells to model different salary points and business assumptions | Determines what the business can sustainably afford to pay</t>
        </is>
      </c>
    </row>
    <row r="4">
      <c r="A4" s="3" t="inlineStr">
        <is>
          <t>BUSINESS ASSUMPTIONS (Update these first)</t>
        </is>
      </c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5" t="inlineStr">
        <is>
          <t>Monthly Revenue (current)</t>
        </is>
      </c>
      <c r="B6" s="26" t="n">
        <v>185000</v>
      </c>
      <c r="C6" s="27" t="inlineStr">
        <is>
          <t>Average last 3 months</t>
        </is>
      </c>
      <c r="D6" s="10" t="n"/>
      <c r="E6" s="28" t="inlineStr">
        <is>
          <t>£35,000 / year</t>
        </is>
      </c>
      <c r="F6" s="29" t="n">
        <v>39830</v>
      </c>
      <c r="G6" s="30" t="inlineStr">
        <is>
          <t>✅ Yes</t>
        </is>
      </c>
    </row>
    <row r="7">
      <c r="A7" s="11" t="inlineStr">
        <is>
          <t>Monthly Gross Profit</t>
        </is>
      </c>
      <c r="B7" s="31" t="n">
        <v>74000</v>
      </c>
      <c r="C7" s="32" t="inlineStr">
        <is>
          <t>Gross Margin x Revenue</t>
        </is>
      </c>
      <c r="D7" s="10" t="n"/>
      <c r="E7" s="33" t="inlineStr">
        <is>
          <t>£42,000 / year</t>
        </is>
      </c>
      <c r="F7" s="34" t="n">
        <v>47796</v>
      </c>
      <c r="G7" s="30" t="inlineStr">
        <is>
          <t>✅ Yes</t>
        </is>
      </c>
    </row>
    <row r="8">
      <c r="A8" s="5" t="inlineStr">
        <is>
          <t>Monthly Fixed OpEx (excl. hire)</t>
        </is>
      </c>
      <c r="B8" s="26" t="n">
        <v>48000</v>
      </c>
      <c r="C8" s="27" t="inlineStr">
        <is>
          <t>Salaries, rent, software etc.</t>
        </is>
      </c>
      <c r="D8" s="10" t="n"/>
      <c r="E8" s="28" t="inlineStr">
        <is>
          <t>£50,000 / year</t>
        </is>
      </c>
      <c r="F8" s="29" t="n">
        <v>56900</v>
      </c>
      <c r="G8" s="30" t="inlineStr">
        <is>
          <t>✅ Yes</t>
        </is>
      </c>
    </row>
    <row r="9">
      <c r="A9" s="11" t="inlineStr">
        <is>
          <t>Monthly Variable OpEx</t>
        </is>
      </c>
      <c r="B9" s="31" t="n">
        <v>14000</v>
      </c>
      <c r="C9" s="32" t="inlineStr">
        <is>
          <t>Marketing, shipping etc.</t>
        </is>
      </c>
      <c r="D9" s="10" t="n"/>
      <c r="E9" s="33" t="inlineStr">
        <is>
          <t>£58,000 / year</t>
        </is>
      </c>
      <c r="F9" s="34" t="n">
        <v>66004</v>
      </c>
      <c r="G9" s="35" t="inlineStr">
        <is>
          <t>⚠ Tight</t>
        </is>
      </c>
    </row>
    <row r="10">
      <c r="A10" s="5" t="inlineStr">
        <is>
          <t>Current Monthly EBITDA</t>
        </is>
      </c>
      <c r="B10" s="26" t="n">
        <v>12000</v>
      </c>
      <c r="C10" s="27" t="inlineStr">
        <is>
          <t>GP minus Fixed minus Variable</t>
        </is>
      </c>
      <c r="D10" s="10" t="n"/>
      <c r="E10" s="28" t="inlineStr">
        <is>
          <t>£65,000 / year</t>
        </is>
      </c>
      <c r="F10" s="29" t="n">
        <v>73970</v>
      </c>
      <c r="G10" s="35" t="inlineStr">
        <is>
          <t>⚠ Tight</t>
        </is>
      </c>
    </row>
    <row r="11">
      <c r="A11" s="11" t="inlineStr">
        <is>
          <t>Target EBITDA Margin %</t>
        </is>
      </c>
      <c r="B11" s="36" t="n">
        <v>0.08</v>
      </c>
      <c r="C11" s="32" t="inlineStr">
        <is>
          <t>Minimum acceptable after hire</t>
        </is>
      </c>
      <c r="D11" s="10" t="n"/>
      <c r="E11" s="33" t="inlineStr">
        <is>
          <t>£75,000 / year</t>
        </is>
      </c>
      <c r="F11" s="34" t="n">
        <v>85350</v>
      </c>
      <c r="G11" s="35" t="inlineStr">
        <is>
          <t>⚠ Tight</t>
        </is>
      </c>
    </row>
    <row r="12">
      <c r="A12" s="5" t="inlineStr">
        <is>
          <t>Employer NI / Tax Rate</t>
        </is>
      </c>
      <c r="B12" s="37" t="n">
        <v>0.138</v>
      </c>
      <c r="C12" s="27" t="inlineStr">
        <is>
          <t>Employer contributions on salary</t>
        </is>
      </c>
      <c r="D12" s="10" t="n"/>
      <c r="E12" s="10" t="n"/>
      <c r="F12" s="10" t="n"/>
      <c r="G12" s="10" t="n"/>
    </row>
    <row r="13">
      <c r="A13" s="11" t="inlineStr">
        <is>
          <t>Onboarding &amp; Equipment Cost</t>
        </is>
      </c>
      <c r="B13" s="31" t="n">
        <v>5000</v>
      </c>
      <c r="C13" s="32" t="inlineStr">
        <is>
          <t>One-time cost in Month 1</t>
        </is>
      </c>
      <c r="D13" s="10" t="n"/>
      <c r="E13" s="10" t="n"/>
      <c r="F13" s="10" t="n"/>
      <c r="G13" s="10" t="n"/>
    </row>
    <row r="14">
      <c r="A14" s="5" t="inlineStr">
        <is>
          <t>Productivity Ramp (months)</t>
        </is>
      </c>
      <c r="B14" s="26" t="n">
        <v>3</v>
      </c>
      <c r="C14" s="27" t="inlineStr">
        <is>
          <t>Months until full productivity</t>
        </is>
      </c>
      <c r="D14" s="10" t="n"/>
      <c r="E14" s="10" t="n"/>
      <c r="F14" s="10" t="n"/>
      <c r="G14" s="10" t="n"/>
    </row>
    <row r="15">
      <c r="A15" s="11" t="inlineStr">
        <is>
          <t>Expected Revenue Uplift/month</t>
        </is>
      </c>
      <c r="B15" s="31" t="n">
        <v>8000</v>
      </c>
      <c r="C15" s="32" t="inlineStr">
        <is>
          <t>Revenue generated by new hire</t>
        </is>
      </c>
      <c r="D15" s="10" t="n"/>
      <c r="E15" s="10" t="n"/>
      <c r="F15" s="10" t="n"/>
      <c r="G15" s="10" t="n"/>
    </row>
    <row r="17">
      <c r="A17" s="3" t="inlineStr">
        <is>
          <t>DETAILED COST &amp; IMPACT MODEL — SELECT SALARY POINT</t>
        </is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38" t="inlineStr">
        <is>
          <t>Base Salary</t>
        </is>
      </c>
      <c r="B19" s="16" t="n">
        <v>4167</v>
      </c>
      <c r="C19" s="16" t="n">
        <v>50000</v>
      </c>
      <c r="D19" s="10" t="n"/>
      <c r="E19" s="11" t="inlineStr">
        <is>
          <t>Revenue</t>
        </is>
      </c>
      <c r="F19" s="16" t="n">
        <v>185000</v>
      </c>
      <c r="G19" s="21" t="n">
        <v>193000</v>
      </c>
    </row>
    <row r="20">
      <c r="A20" s="39" t="inlineStr">
        <is>
          <t>Employer NI / Tax</t>
        </is>
      </c>
      <c r="B20" s="23" t="n">
        <v>575</v>
      </c>
      <c r="C20" s="23" t="n">
        <v>6900</v>
      </c>
      <c r="D20" s="10" t="n"/>
      <c r="E20" s="11" t="inlineStr">
        <is>
          <t>Gross Profit</t>
        </is>
      </c>
      <c r="F20" s="16" t="n">
        <v>74000</v>
      </c>
      <c r="G20" s="21" t="n">
        <v>77200</v>
      </c>
    </row>
    <row r="21">
      <c r="A21" s="40" t="inlineStr">
        <is>
          <t>Total Direct Cost</t>
        </is>
      </c>
      <c r="B21" s="41" t="n">
        <v>4742</v>
      </c>
      <c r="C21" s="41" t="n">
        <v>56900</v>
      </c>
      <c r="D21" s="10" t="n"/>
      <c r="E21" s="11" t="inlineStr">
        <is>
          <t>Fixed OpEx</t>
        </is>
      </c>
      <c r="F21" s="16" t="n">
        <v>48000</v>
      </c>
      <c r="G21" s="21" t="n">
        <v>52741.66666666666</v>
      </c>
    </row>
    <row r="22">
      <c r="A22" s="39" t="inlineStr">
        <is>
          <t>Onboarding (Month 1)</t>
        </is>
      </c>
      <c r="B22" s="23" t="n">
        <v>417</v>
      </c>
      <c r="C22" s="23" t="n">
        <v>5000</v>
      </c>
      <c r="D22" s="10" t="n"/>
      <c r="E22" s="11" t="inlineStr">
        <is>
          <t>EBITDA</t>
        </is>
      </c>
      <c r="F22" s="16" t="n">
        <v>12000</v>
      </c>
      <c r="G22" s="17" t="n">
        <v>10458.33333333333</v>
      </c>
    </row>
    <row r="23">
      <c r="A23" s="40" t="inlineStr">
        <is>
          <t>Total First Year Cost</t>
        </is>
      </c>
      <c r="B23" s="41" t="n">
        <v>5158</v>
      </c>
      <c r="C23" s="41" t="n">
        <v>61900</v>
      </c>
      <c r="D23" s="10" t="n"/>
      <c r="E23" s="11" t="inlineStr">
        <is>
          <t>EBITDA %</t>
        </is>
      </c>
      <c r="F23" s="24" t="n">
        <v>0.0649</v>
      </c>
      <c r="G23" s="18" t="n">
        <v>0.05418825561312608</v>
      </c>
    </row>
    <row r="25">
      <c r="A25" s="3" t="inlineStr">
        <is>
          <t>BREAK-EVEN TIMELINE — MONTHS UNTIL HIRE PAYS FOR ITSELF</t>
        </is>
      </c>
    </row>
    <row r="26">
      <c r="A26" s="4" t="n"/>
      <c r="B26" s="4" t="n"/>
      <c r="C26" s="4" t="n"/>
      <c r="D26" s="4" t="n"/>
      <c r="E26" s="4" t="n"/>
    </row>
    <row r="27">
      <c r="A27" s="42" t="inlineStr">
        <is>
          <t>Month 1</t>
        </is>
      </c>
      <c r="B27" s="16" t="n">
        <v>9742</v>
      </c>
      <c r="C27" s="16" t="n">
        <v>2640</v>
      </c>
      <c r="D27" s="43" t="n">
        <v>-7102</v>
      </c>
      <c r="E27" s="44" t="inlineStr">
        <is>
          <t xml:space="preserve">  (7,101 to go)</t>
        </is>
      </c>
    </row>
    <row r="28">
      <c r="A28" s="45" t="inlineStr">
        <is>
          <t>Month 2</t>
        </is>
      </c>
      <c r="B28" s="23" t="n">
        <v>14483</v>
      </c>
      <c r="C28" s="23" t="n">
        <v>5280</v>
      </c>
      <c r="D28" s="43" t="n">
        <v>-9203</v>
      </c>
      <c r="E28" s="44" t="inlineStr">
        <is>
          <t xml:space="preserve">  (9,203 to go)</t>
        </is>
      </c>
    </row>
    <row r="29">
      <c r="A29" s="42" t="inlineStr">
        <is>
          <t>Month 3</t>
        </is>
      </c>
      <c r="B29" s="16" t="n">
        <v>19225</v>
      </c>
      <c r="C29" s="16" t="n">
        <v>7920</v>
      </c>
      <c r="D29" s="43" t="n">
        <v>-11305</v>
      </c>
      <c r="E29" s="44" t="inlineStr">
        <is>
          <t xml:space="preserve">  (11,305 to go)</t>
        </is>
      </c>
    </row>
    <row r="30">
      <c r="A30" s="45" t="inlineStr">
        <is>
          <t>Month 4</t>
        </is>
      </c>
      <c r="B30" s="23" t="n">
        <v>23967</v>
      </c>
      <c r="C30" s="23" t="n">
        <v>15920</v>
      </c>
      <c r="D30" s="43" t="n">
        <v>-8047</v>
      </c>
      <c r="E30" s="44" t="inlineStr">
        <is>
          <t xml:space="preserve">  (8,046 to go)</t>
        </is>
      </c>
    </row>
    <row r="31">
      <c r="A31" s="42" t="inlineStr">
        <is>
          <t>Month 5</t>
        </is>
      </c>
      <c r="B31" s="16" t="n">
        <v>28708</v>
      </c>
      <c r="C31" s="16" t="n">
        <v>23920</v>
      </c>
      <c r="D31" s="43" t="n">
        <v>-4788</v>
      </c>
      <c r="E31" s="44" t="inlineStr">
        <is>
          <t xml:space="preserve">  (4,788 to go)</t>
        </is>
      </c>
    </row>
    <row r="32">
      <c r="A32" s="45" t="inlineStr">
        <is>
          <t>Month 6</t>
        </is>
      </c>
      <c r="B32" s="23" t="n">
        <v>33450</v>
      </c>
      <c r="C32" s="23" t="n">
        <v>31920</v>
      </c>
      <c r="D32" s="43" t="n">
        <v>-1530</v>
      </c>
      <c r="E32" s="44" t="inlineStr">
        <is>
          <t xml:space="preserve">  (1,530 to go)</t>
        </is>
      </c>
    </row>
    <row r="33">
      <c r="A33" s="42" t="inlineStr">
        <is>
          <t>Month 7</t>
        </is>
      </c>
      <c r="B33" s="16" t="n">
        <v>38192</v>
      </c>
      <c r="C33" s="16" t="n">
        <v>39920</v>
      </c>
      <c r="D33" s="46" t="n">
        <v>1728</v>
      </c>
      <c r="E33" s="30" t="inlineStr">
        <is>
          <t>✅ Break-Even!</t>
        </is>
      </c>
    </row>
    <row r="34">
      <c r="A34" s="45" t="inlineStr">
        <is>
          <t>Month 8</t>
        </is>
      </c>
      <c r="B34" s="23" t="n">
        <v>42933</v>
      </c>
      <c r="C34" s="23" t="n">
        <v>47920</v>
      </c>
      <c r="D34" s="46" t="n">
        <v>4987</v>
      </c>
      <c r="E34" s="30" t="inlineStr">
        <is>
          <t>✅ Break-Even!</t>
        </is>
      </c>
    </row>
    <row r="35">
      <c r="A35" s="42" t="inlineStr">
        <is>
          <t>Month 9</t>
        </is>
      </c>
      <c r="B35" s="16" t="n">
        <v>47675</v>
      </c>
      <c r="C35" s="16" t="n">
        <v>55920</v>
      </c>
      <c r="D35" s="46" t="n">
        <v>8245</v>
      </c>
      <c r="E35" s="30" t="inlineStr">
        <is>
          <t>✅ Break-Even!</t>
        </is>
      </c>
    </row>
    <row r="36">
      <c r="A36" s="45" t="inlineStr">
        <is>
          <t>Month 10</t>
        </is>
      </c>
      <c r="B36" s="23" t="n">
        <v>52417</v>
      </c>
      <c r="C36" s="23" t="n">
        <v>63920</v>
      </c>
      <c r="D36" s="46" t="n">
        <v>11503</v>
      </c>
      <c r="E36" s="30" t="inlineStr">
        <is>
          <t>✅ Break-Even!</t>
        </is>
      </c>
    </row>
    <row r="37">
      <c r="A37" s="42" t="inlineStr">
        <is>
          <t>Month 11</t>
        </is>
      </c>
      <c r="B37" s="16" t="n">
        <v>57158</v>
      </c>
      <c r="C37" s="16" t="n">
        <v>71920</v>
      </c>
      <c r="D37" s="46" t="n">
        <v>14762</v>
      </c>
      <c r="E37" s="30" t="inlineStr">
        <is>
          <t>✅ Break-Even!</t>
        </is>
      </c>
    </row>
    <row r="38">
      <c r="A38" s="45" t="inlineStr">
        <is>
          <t>Month 12</t>
        </is>
      </c>
      <c r="B38" s="23" t="n">
        <v>61900</v>
      </c>
      <c r="C38" s="23" t="n">
        <v>79920</v>
      </c>
      <c r="D38" s="46" t="n">
        <v>18020</v>
      </c>
      <c r="E38" s="30" t="inlineStr">
        <is>
          <t>✅ Break-Even!</t>
        </is>
      </c>
    </row>
  </sheetData>
  <mergeCells count="5">
    <mergeCell ref="A1:G1"/>
    <mergeCell ref="A17:G17"/>
    <mergeCell ref="A4:G4"/>
    <mergeCell ref="A2:G2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2" customWidth="1" min="4" max="4"/>
    <col width="10" customWidth="1" min="5" max="5"/>
    <col width="16" customWidth="1" min="6" max="6"/>
    <col width="12" customWidth="1" min="7" max="7"/>
  </cols>
  <sheetData>
    <row r="1" ht="38" customHeight="1">
      <c r="A1" s="1" t="inlineStr">
        <is>
          <t>BREAK-EVEN ANALYSIS — PRODUCT &amp; BUSINESS LEVEL</t>
        </is>
      </c>
    </row>
    <row r="2">
      <c r="A2" s="2" t="inlineStr">
        <is>
          <t>Determines minimum revenue / units needed to cover all costs | Change blue cells to model your business</t>
        </is>
      </c>
    </row>
    <row r="4">
      <c r="A4" s="3" t="inlineStr">
        <is>
          <t>BUSINESS-LEVEL BREAK-EVEN</t>
        </is>
      </c>
    </row>
    <row r="5">
      <c r="A5" s="4" t="n"/>
      <c r="B5" s="4" t="n"/>
      <c r="C5" s="4" t="n"/>
      <c r="D5" s="4" t="n"/>
      <c r="E5" s="4" t="n"/>
      <c r="F5" s="4" t="n"/>
      <c r="G5" s="4" t="n"/>
    </row>
    <row r="6">
      <c r="A6" s="5" t="inlineStr">
        <is>
          <t>Average Selling Price ($)</t>
        </is>
      </c>
      <c r="B6" s="47" t="n">
        <v>95</v>
      </c>
      <c r="C6" s="27" t="inlineStr">
        <is>
          <t>Blended across all products</t>
        </is>
      </c>
      <c r="D6" s="10" t="n"/>
      <c r="E6" s="11" t="inlineStr">
        <is>
          <t>Monthly Break-Even Units</t>
        </is>
      </c>
      <c r="F6" s="41" t="n">
        <v>1472</v>
      </c>
      <c r="G6" s="32">
        <f> Fixed Costs / CM per Unit</f>
        <v/>
      </c>
    </row>
    <row r="7">
      <c r="A7" s="11" t="inlineStr">
        <is>
          <t>Variable Cost per Unit ($)</t>
        </is>
      </c>
      <c r="B7" s="48" t="n">
        <v>42</v>
      </c>
      <c r="C7" s="32" t="inlineStr">
        <is>
          <t>COGS + variable fulfilment</t>
        </is>
      </c>
      <c r="D7" s="10" t="n"/>
      <c r="E7" s="11" t="inlineStr">
        <is>
          <t>Monthly Break-Even Revenue ($)</t>
        </is>
      </c>
      <c r="F7" s="41" t="n">
        <v>139840</v>
      </c>
      <c r="G7" s="32">
        <f> BE Units x Price</f>
        <v/>
      </c>
    </row>
    <row r="8">
      <c r="A8" s="5" t="inlineStr">
        <is>
          <t>Contribution Margin per Unit</t>
        </is>
      </c>
      <c r="B8" s="47" t="n">
        <v>53</v>
      </c>
      <c r="C8" s="27">
        <f> Price minus Variable Cost</f>
        <v/>
      </c>
      <c r="D8" s="10" t="n"/>
      <c r="E8" s="11" t="inlineStr">
        <is>
          <t>Annual Break-Even Revenue ($)</t>
        </is>
      </c>
      <c r="F8" s="41" t="n">
        <v>1678080</v>
      </c>
      <c r="G8" s="32">
        <f> Monthly x 12</f>
        <v/>
      </c>
    </row>
    <row r="9">
      <c r="A9" s="11" t="inlineStr">
        <is>
          <t>Contribution Margin %</t>
        </is>
      </c>
      <c r="B9" s="36" t="n">
        <v>0.5580000000000001</v>
      </c>
      <c r="C9" s="32">
        <f> CM / Price</f>
        <v/>
      </c>
      <c r="D9" s="10" t="n"/>
      <c r="E9" s="11" t="inlineStr">
        <is>
          <t>Current Monthly Revenue ($)</t>
        </is>
      </c>
      <c r="F9" s="41" t="n">
        <v>185000</v>
      </c>
      <c r="G9" s="32" t="inlineStr">
        <is>
          <t>From assumptions</t>
        </is>
      </c>
    </row>
    <row r="10">
      <c r="A10" s="5" t="inlineStr">
        <is>
          <t>Total Monthly Fixed Costs ($)</t>
        </is>
      </c>
      <c r="B10" s="26" t="n">
        <v>78000</v>
      </c>
      <c r="C10" s="27" t="inlineStr">
        <is>
          <t>Salaries, rent, software etc.</t>
        </is>
      </c>
      <c r="D10" s="10" t="n"/>
      <c r="E10" s="11" t="inlineStr">
        <is>
          <t>Safety Margin ($)</t>
        </is>
      </c>
      <c r="F10" s="41" t="n">
        <v>45160</v>
      </c>
      <c r="G10" s="32">
        <f> Revenue - BE Revenue</f>
        <v/>
      </c>
    </row>
    <row r="11">
      <c r="A11" s="11" t="inlineStr">
        <is>
          <t>Annual Fixed Costs ($)</t>
        </is>
      </c>
      <c r="B11" s="31" t="n">
        <v>936000</v>
      </c>
      <c r="C11" s="32">
        <f> Monthly x 12</f>
        <v/>
      </c>
      <c r="D11" s="10" t="n"/>
      <c r="E11" s="11" t="inlineStr">
        <is>
          <t>Safety Margin %</t>
        </is>
      </c>
      <c r="F11" s="49" t="n">
        <v>0.244</v>
      </c>
      <c r="G11" s="32">
        <f> Safety Margin / Revenue</f>
        <v/>
      </c>
    </row>
    <row r="13">
      <c r="A13" s="3" t="inlineStr">
        <is>
          <t>PRODUCT-LEVEL BREAK-EVEN ANALYSIS</t>
        </is>
      </c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38" t="inlineStr">
        <is>
          <t>Fashion &amp; Apparel</t>
        </is>
      </c>
      <c r="B15" s="31" t="n">
        <v>65</v>
      </c>
      <c r="C15" s="31" t="n">
        <v>28</v>
      </c>
      <c r="D15" s="41">
        <f>B15-C15</f>
        <v/>
      </c>
      <c r="E15" s="20">
        <f>IF(B15&lt;&gt;0,D15/B15,0)</f>
        <v/>
      </c>
      <c r="F15" s="31" t="n">
        <v>15600</v>
      </c>
      <c r="G15" s="50">
        <f>CEILING(IF(D15&lt;&gt;0,F15/D15,0),1)</f>
        <v/>
      </c>
    </row>
    <row r="16">
      <c r="A16" s="39" t="inlineStr">
        <is>
          <t>Electronics &amp; Tech</t>
        </is>
      </c>
      <c r="B16" s="26" t="n">
        <v>180</v>
      </c>
      <c r="C16" s="26" t="n">
        <v>120</v>
      </c>
      <c r="D16" s="41">
        <f>B16-C16</f>
        <v/>
      </c>
      <c r="E16" s="20">
        <f>IF(B16&lt;&gt;0,D16/B16,0)</f>
        <v/>
      </c>
      <c r="F16" s="31" t="n">
        <v>22000</v>
      </c>
      <c r="G16" s="50">
        <f>CEILING(IF(D16&lt;&gt;0,F16/D16,0),1)</f>
        <v/>
      </c>
    </row>
    <row r="17">
      <c r="A17" s="38" t="inlineStr">
        <is>
          <t>Beauty &amp; Cosmetics</t>
        </is>
      </c>
      <c r="B17" s="31" t="n">
        <v>45</v>
      </c>
      <c r="C17" s="31" t="n">
        <v>19</v>
      </c>
      <c r="D17" s="41">
        <f>B17-C17</f>
        <v/>
      </c>
      <c r="E17" s="20">
        <f>IF(B17&lt;&gt;0,D17/B17,0)</f>
        <v/>
      </c>
      <c r="F17" s="31" t="n">
        <v>12000</v>
      </c>
      <c r="G17" s="50">
        <f>CEILING(IF(D17&lt;&gt;0,F17/D17,0),1)</f>
        <v/>
      </c>
    </row>
    <row r="18">
      <c r="A18" s="39" t="inlineStr">
        <is>
          <t>Home &amp; Living</t>
        </is>
      </c>
      <c r="B18" s="26" t="n">
        <v>85</v>
      </c>
      <c r="C18" s="26" t="n">
        <v>38</v>
      </c>
      <c r="D18" s="41">
        <f>B18-C18</f>
        <v/>
      </c>
      <c r="E18" s="20">
        <f>IF(B18&lt;&gt;0,D18/B18,0)</f>
        <v/>
      </c>
      <c r="F18" s="31" t="n">
        <v>14000</v>
      </c>
      <c r="G18" s="50">
        <f>CEILING(IF(D18&lt;&gt;0,F18/D18,0),1)</f>
        <v/>
      </c>
    </row>
    <row r="19">
      <c r="A19" s="38" t="inlineStr">
        <is>
          <t>Sports &amp; Outdoors</t>
        </is>
      </c>
      <c r="B19" s="31" t="n">
        <v>95</v>
      </c>
      <c r="C19" s="31" t="n">
        <v>40</v>
      </c>
      <c r="D19" s="41">
        <f>B19-C19</f>
        <v/>
      </c>
      <c r="E19" s="20">
        <f>IF(B19&lt;&gt;0,D19/B19,0)</f>
        <v/>
      </c>
      <c r="F19" s="31" t="n">
        <v>14400</v>
      </c>
      <c r="G19" s="50">
        <f>CEILING(IF(D19&lt;&gt;0,F19/D19,0),1)</f>
        <v/>
      </c>
    </row>
  </sheetData>
  <mergeCells count="4">
    <mergeCell ref="A13:G13"/>
    <mergeCell ref="A2:G2"/>
    <mergeCell ref="A1:G1"/>
    <mergeCell ref="A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9000"/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8" customHeight="1">
      <c r="A1" s="1" t="inlineStr">
        <is>
          <t>BUDGET vs ACTUAL TRACKER — FULL YEAR 2025</t>
        </is>
      </c>
    </row>
    <row r="2">
      <c r="A2" s="2" t="inlineStr">
        <is>
          <t>Enter actuals monthly as they become available | Red = Over Budget | Green = Under Budget / Ahead of Target</t>
        </is>
      </c>
    </row>
    <row r="4">
      <c r="A4" s="51" t="inlineStr">
        <is>
          <t>Category</t>
        </is>
      </c>
      <c r="B4" s="51" t="inlineStr">
        <is>
          <t>Jan Bud</t>
        </is>
      </c>
      <c r="C4" s="51" t="inlineStr">
        <is>
          <t>Feb Bud</t>
        </is>
      </c>
      <c r="D4" s="51" t="inlineStr">
        <is>
          <t>Mar Bud</t>
        </is>
      </c>
      <c r="E4" s="51" t="inlineStr">
        <is>
          <t>Apr Bud</t>
        </is>
      </c>
      <c r="F4" s="51" t="inlineStr">
        <is>
          <t>May Bud</t>
        </is>
      </c>
      <c r="G4" s="51" t="inlineStr">
        <is>
          <t>Jun Bud</t>
        </is>
      </c>
      <c r="H4" s="51" t="inlineStr">
        <is>
          <t>Jul Bud</t>
        </is>
      </c>
      <c r="I4" s="51" t="inlineStr">
        <is>
          <t>Aug Bud</t>
        </is>
      </c>
      <c r="J4" s="51" t="inlineStr">
        <is>
          <t>Sep Bud</t>
        </is>
      </c>
      <c r="K4" s="51" t="inlineStr">
        <is>
          <t>Oct Bud</t>
        </is>
      </c>
      <c r="L4" s="51" t="inlineStr">
        <is>
          <t>Nov Bud</t>
        </is>
      </c>
      <c r="M4" s="51" t="inlineStr">
        <is>
          <t>Dec Bud</t>
        </is>
      </c>
      <c r="N4" s="51" t="inlineStr">
        <is>
          <t>FY Budget</t>
        </is>
      </c>
    </row>
    <row r="5">
      <c r="A5" s="52" t="inlineStr"/>
      <c r="B5" s="52" t="inlineStr">
        <is>
          <t>Jan Act</t>
        </is>
      </c>
      <c r="C5" s="52" t="inlineStr">
        <is>
          <t>Feb Act</t>
        </is>
      </c>
      <c r="D5" s="52" t="inlineStr">
        <is>
          <t>Mar Act</t>
        </is>
      </c>
      <c r="E5" s="52" t="inlineStr">
        <is>
          <t>Apr Act</t>
        </is>
      </c>
      <c r="F5" s="52" t="inlineStr">
        <is>
          <t>May Act</t>
        </is>
      </c>
      <c r="G5" s="52" t="inlineStr">
        <is>
          <t>Jun Act</t>
        </is>
      </c>
      <c r="H5" s="52" t="inlineStr">
        <is>
          <t>Jul Act</t>
        </is>
      </c>
      <c r="I5" s="52" t="inlineStr">
        <is>
          <t>Aug Act</t>
        </is>
      </c>
      <c r="J5" s="52" t="inlineStr">
        <is>
          <t>Sep Act</t>
        </is>
      </c>
      <c r="K5" s="52" t="inlineStr">
        <is>
          <t>Oct Act</t>
        </is>
      </c>
      <c r="L5" s="52" t="inlineStr">
        <is>
          <t>Nov Act</t>
        </is>
      </c>
      <c r="M5" s="52" t="inlineStr">
        <is>
          <t>Dec Act</t>
        </is>
      </c>
      <c r="N5" s="52" t="inlineStr">
        <is>
          <t>FY Actual</t>
        </is>
      </c>
    </row>
    <row r="6">
      <c r="A6" s="53" t="inlineStr">
        <is>
          <t>REVENUE</t>
        </is>
      </c>
      <c r="B6" s="54" t="n"/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</row>
    <row r="7">
      <c r="A7" s="55" t="inlineStr">
        <is>
          <t>Product Sales</t>
        </is>
      </c>
      <c r="B7" s="31" t="n">
        <v>105000</v>
      </c>
      <c r="C7" s="31" t="n">
        <v>112000</v>
      </c>
      <c r="D7" s="31" t="n">
        <v>118000</v>
      </c>
      <c r="E7" s="31" t="n">
        <v>115000</v>
      </c>
      <c r="F7" s="31" t="n">
        <v>120000</v>
      </c>
      <c r="G7" s="31" t="n">
        <v>125000</v>
      </c>
      <c r="H7" s="31" t="n">
        <v>118000</v>
      </c>
      <c r="I7" s="31" t="n">
        <v>122000</v>
      </c>
      <c r="J7" s="31" t="n">
        <v>128000</v>
      </c>
      <c r="K7" s="31" t="n">
        <v>132000</v>
      </c>
      <c r="L7" s="31" t="n">
        <v>138000</v>
      </c>
      <c r="M7" s="31" t="n">
        <v>145000</v>
      </c>
      <c r="N7" s="56">
        <f>SUM(B7:M7)</f>
        <v/>
      </c>
    </row>
    <row r="8">
      <c r="A8" s="57" t="inlineStr">
        <is>
          <t xml:space="preserve">  ↳ Product Sales Actual</t>
        </is>
      </c>
      <c r="B8" s="58" t="n">
        <v>109000</v>
      </c>
      <c r="C8" s="58" t="n">
        <v>118000</v>
      </c>
      <c r="D8" s="58" t="n">
        <v>126000</v>
      </c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34">
        <f>SUM(B8:M8)</f>
        <v/>
      </c>
    </row>
    <row r="9">
      <c r="A9" s="55" t="inlineStr">
        <is>
          <t>Service Revenue</t>
        </is>
      </c>
      <c r="B9" s="31" t="n">
        <v>27000</v>
      </c>
      <c r="C9" s="31" t="n">
        <v>30000</v>
      </c>
      <c r="D9" s="31" t="n">
        <v>31000</v>
      </c>
      <c r="E9" s="31" t="n">
        <v>30000</v>
      </c>
      <c r="F9" s="31" t="n">
        <v>32000</v>
      </c>
      <c r="G9" s="31" t="n">
        <v>33000</v>
      </c>
      <c r="H9" s="31" t="n">
        <v>30000</v>
      </c>
      <c r="I9" s="31" t="n">
        <v>31000</v>
      </c>
      <c r="J9" s="31" t="n">
        <v>33000</v>
      </c>
      <c r="K9" s="31" t="n">
        <v>34000</v>
      </c>
      <c r="L9" s="31" t="n">
        <v>36000</v>
      </c>
      <c r="M9" s="31" t="n">
        <v>38000</v>
      </c>
      <c r="N9" s="56">
        <f>SUM(B9:M9)</f>
        <v/>
      </c>
    </row>
    <row r="10">
      <c r="A10" s="57" t="inlineStr">
        <is>
          <t xml:space="preserve">  ↳ Service Revenue Actual</t>
        </is>
      </c>
      <c r="B10" s="58" t="n">
        <v>28000</v>
      </c>
      <c r="C10" s="58" t="n">
        <v>31000</v>
      </c>
      <c r="D10" s="58" t="n">
        <v>32000</v>
      </c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34">
        <f>SUM(B10:M10)</f>
        <v/>
      </c>
    </row>
    <row r="11">
      <c r="A11" s="55" t="inlineStr">
        <is>
          <t>Other Income</t>
        </is>
      </c>
      <c r="B11" s="31" t="n">
        <v>12000</v>
      </c>
      <c r="C11" s="31" t="n">
        <v>12000</v>
      </c>
      <c r="D11" s="31" t="n">
        <v>12000</v>
      </c>
      <c r="E11" s="31" t="n">
        <v>12000</v>
      </c>
      <c r="F11" s="31" t="n">
        <v>12000</v>
      </c>
      <c r="G11" s="31" t="n">
        <v>12000</v>
      </c>
      <c r="H11" s="31" t="n">
        <v>12000</v>
      </c>
      <c r="I11" s="31" t="n">
        <v>12000</v>
      </c>
      <c r="J11" s="31" t="n">
        <v>12000</v>
      </c>
      <c r="K11" s="31" t="n">
        <v>12000</v>
      </c>
      <c r="L11" s="31" t="n">
        <v>12000</v>
      </c>
      <c r="M11" s="31" t="n">
        <v>12000</v>
      </c>
      <c r="N11" s="56">
        <f>SUM(B11:M11)</f>
        <v/>
      </c>
    </row>
    <row r="12">
      <c r="A12" s="57" t="inlineStr">
        <is>
          <t xml:space="preserve">  ↳ Other Income Actual</t>
        </is>
      </c>
      <c r="B12" s="59" t="n">
        <v>12000</v>
      </c>
      <c r="C12" s="59" t="n">
        <v>12000</v>
      </c>
      <c r="D12" s="59" t="n">
        <v>12000</v>
      </c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34">
        <f>SUM(B12:M12)</f>
        <v/>
      </c>
    </row>
    <row r="13">
      <c r="A13" s="40" t="inlineStr">
        <is>
          <t>Total Revenue</t>
        </is>
      </c>
      <c r="B13" s="60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  <c r="L13" s="60" t="n"/>
      <c r="M13" s="60" t="n"/>
      <c r="N13" s="56">
        <f>SUM(B13:M13)</f>
        <v/>
      </c>
    </row>
    <row r="14">
      <c r="A14" s="57" t="inlineStr">
        <is>
          <t xml:space="preserve">  ↳ Total Revenue Actual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34">
        <f>SUM(B14:M14)</f>
        <v/>
      </c>
    </row>
    <row r="15">
      <c r="A15" s="53" t="inlineStr">
        <is>
          <t>GROSS PROFIT</t>
        </is>
      </c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4" t="n"/>
      <c r="M15" s="54" t="n"/>
      <c r="N15" s="54" t="n"/>
    </row>
    <row r="16">
      <c r="A16" s="40" t="inlineStr">
        <is>
          <t>Total Gross Profit</t>
        </is>
      </c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  <c r="L16" s="60" t="n"/>
      <c r="M16" s="60" t="n"/>
      <c r="N16" s="56">
        <f>SUM(B16:M16)</f>
        <v/>
      </c>
    </row>
    <row r="17">
      <c r="A17" s="57" t="inlineStr">
        <is>
          <t xml:space="preserve">  ↳ Total Gross Profit Actual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34">
        <f>SUM(B17:M17)</f>
        <v/>
      </c>
    </row>
    <row r="18">
      <c r="A18" s="53" t="inlineStr">
        <is>
          <t>OPERATING EXPENSES</t>
        </is>
      </c>
      <c r="B18" s="54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</row>
    <row r="19">
      <c r="A19" s="55" t="inlineStr">
        <is>
          <t>Salaries</t>
        </is>
      </c>
      <c r="B19" s="31" t="n">
        <v>45000</v>
      </c>
      <c r="C19" s="31" t="n">
        <v>45000</v>
      </c>
      <c r="D19" s="31" t="n">
        <v>50000</v>
      </c>
      <c r="E19" s="31" t="n">
        <v>50000</v>
      </c>
      <c r="F19" s="31" t="n">
        <v>55000</v>
      </c>
      <c r="G19" s="31" t="n">
        <v>55000</v>
      </c>
      <c r="H19" s="31" t="n">
        <v>55000</v>
      </c>
      <c r="I19" s="31" t="n">
        <v>55000</v>
      </c>
      <c r="J19" s="31" t="n">
        <v>55000</v>
      </c>
      <c r="K19" s="31" t="n">
        <v>55000</v>
      </c>
      <c r="L19" s="31" t="n">
        <v>60000</v>
      </c>
      <c r="M19" s="31" t="n">
        <v>60000</v>
      </c>
      <c r="N19" s="56">
        <f>SUM(B19:M19)</f>
        <v/>
      </c>
    </row>
    <row r="20">
      <c r="A20" s="57" t="inlineStr">
        <is>
          <t xml:space="preserve">  ↳ Salaries Actual</t>
        </is>
      </c>
      <c r="B20" s="58" t="n">
        <v>46000</v>
      </c>
      <c r="C20" s="58" t="n">
        <v>46000</v>
      </c>
      <c r="D20" s="58" t="n">
        <v>52000</v>
      </c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34">
        <f>SUM(B20:M20)</f>
        <v/>
      </c>
    </row>
    <row r="21">
      <c r="A21" s="55" t="inlineStr">
        <is>
          <t>Marketing</t>
        </is>
      </c>
      <c r="B21" s="31" t="n">
        <v>14000</v>
      </c>
      <c r="C21" s="31" t="n">
        <v>15000</v>
      </c>
      <c r="D21" s="31" t="n">
        <v>16000</v>
      </c>
      <c r="E21" s="31" t="n">
        <v>16000</v>
      </c>
      <c r="F21" s="31" t="n">
        <v>17000</v>
      </c>
      <c r="G21" s="31" t="n">
        <v>18000</v>
      </c>
      <c r="H21" s="31" t="n">
        <v>15000</v>
      </c>
      <c r="I21" s="31" t="n">
        <v>16000</v>
      </c>
      <c r="J21" s="31" t="n">
        <v>17000</v>
      </c>
      <c r="K21" s="31" t="n">
        <v>18000</v>
      </c>
      <c r="L21" s="31" t="n">
        <v>19000</v>
      </c>
      <c r="M21" s="31" t="n">
        <v>20000</v>
      </c>
      <c r="N21" s="56">
        <f>SUM(B21:M21)</f>
        <v/>
      </c>
    </row>
    <row r="22">
      <c r="A22" s="57" t="inlineStr">
        <is>
          <t xml:space="preserve">  ↳ Marketing Actual</t>
        </is>
      </c>
      <c r="B22" s="58" t="n">
        <v>15000</v>
      </c>
      <c r="C22" s="58" t="n">
        <v>16000</v>
      </c>
      <c r="D22" s="58" t="n">
        <v>17000</v>
      </c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34">
        <f>SUM(B22:M22)</f>
        <v/>
      </c>
    </row>
    <row r="23">
      <c r="A23" s="55" t="inlineStr">
        <is>
          <t>Technology</t>
        </is>
      </c>
      <c r="B23" s="31" t="n">
        <v>6000</v>
      </c>
      <c r="C23" s="31" t="n">
        <v>6000</v>
      </c>
      <c r="D23" s="31" t="n">
        <v>6000</v>
      </c>
      <c r="E23" s="31" t="n">
        <v>6000</v>
      </c>
      <c r="F23" s="31" t="n">
        <v>6000</v>
      </c>
      <c r="G23" s="31" t="n">
        <v>6000</v>
      </c>
      <c r="H23" s="31" t="n">
        <v>6000</v>
      </c>
      <c r="I23" s="31" t="n">
        <v>6000</v>
      </c>
      <c r="J23" s="31" t="n">
        <v>6000</v>
      </c>
      <c r="K23" s="31" t="n">
        <v>6000</v>
      </c>
      <c r="L23" s="31" t="n">
        <v>6000</v>
      </c>
      <c r="M23" s="31" t="n">
        <v>6000</v>
      </c>
      <c r="N23" s="56">
        <f>SUM(B23:M23)</f>
        <v/>
      </c>
    </row>
    <row r="24">
      <c r="A24" s="57" t="inlineStr">
        <is>
          <t xml:space="preserve">  ↳ Technology Actual</t>
        </is>
      </c>
      <c r="B24" s="59" t="n">
        <v>6000</v>
      </c>
      <c r="C24" s="59" t="n">
        <v>6000</v>
      </c>
      <c r="D24" s="59" t="n">
        <v>6000</v>
      </c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34">
        <f>SUM(B24:M24)</f>
        <v/>
      </c>
    </row>
    <row r="25">
      <c r="A25" s="55" t="inlineStr">
        <is>
          <t>Rent &amp; Facilities</t>
        </is>
      </c>
      <c r="B25" s="31" t="n">
        <v>8000</v>
      </c>
      <c r="C25" s="31" t="n">
        <v>8000</v>
      </c>
      <c r="D25" s="31" t="n">
        <v>8000</v>
      </c>
      <c r="E25" s="31" t="n">
        <v>8000</v>
      </c>
      <c r="F25" s="31" t="n">
        <v>8000</v>
      </c>
      <c r="G25" s="31" t="n">
        <v>8000</v>
      </c>
      <c r="H25" s="31" t="n">
        <v>8000</v>
      </c>
      <c r="I25" s="31" t="n">
        <v>8000</v>
      </c>
      <c r="J25" s="31" t="n">
        <v>8000</v>
      </c>
      <c r="K25" s="31" t="n">
        <v>8000</v>
      </c>
      <c r="L25" s="31" t="n">
        <v>8000</v>
      </c>
      <c r="M25" s="31" t="n">
        <v>8000</v>
      </c>
      <c r="N25" s="56">
        <f>SUM(B25:M25)</f>
        <v/>
      </c>
    </row>
    <row r="26">
      <c r="A26" s="57" t="inlineStr">
        <is>
          <t xml:space="preserve">  ↳ Rent &amp; Facilities Actual</t>
        </is>
      </c>
      <c r="B26" s="59" t="n">
        <v>8000</v>
      </c>
      <c r="C26" s="59" t="n">
        <v>8000</v>
      </c>
      <c r="D26" s="59" t="n">
        <v>8000</v>
      </c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34">
        <f>SUM(B26:M26)</f>
        <v/>
      </c>
    </row>
    <row r="27">
      <c r="A27" s="55" t="inlineStr">
        <is>
          <t>G&amp;A</t>
        </is>
      </c>
      <c r="B27" s="31" t="n">
        <v>5000</v>
      </c>
      <c r="C27" s="31" t="n">
        <v>5000</v>
      </c>
      <c r="D27" s="31" t="n">
        <v>5000</v>
      </c>
      <c r="E27" s="31" t="n">
        <v>5000</v>
      </c>
      <c r="F27" s="31" t="n">
        <v>5000</v>
      </c>
      <c r="G27" s="31" t="n">
        <v>5000</v>
      </c>
      <c r="H27" s="31" t="n">
        <v>5000</v>
      </c>
      <c r="I27" s="31" t="n">
        <v>5000</v>
      </c>
      <c r="J27" s="31" t="n">
        <v>5000</v>
      </c>
      <c r="K27" s="31" t="n">
        <v>5000</v>
      </c>
      <c r="L27" s="31" t="n">
        <v>5000</v>
      </c>
      <c r="M27" s="31" t="n">
        <v>5000</v>
      </c>
      <c r="N27" s="56">
        <f>SUM(B27:M27)</f>
        <v/>
      </c>
    </row>
    <row r="28">
      <c r="A28" s="57" t="inlineStr">
        <is>
          <t xml:space="preserve">  ↳ G&amp;A Actual</t>
        </is>
      </c>
      <c r="B28" s="59" t="n">
        <v>5000</v>
      </c>
      <c r="C28" s="59" t="n">
        <v>5000</v>
      </c>
      <c r="D28" s="59" t="n">
        <v>5000</v>
      </c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34">
        <f>SUM(B28:M28)</f>
        <v/>
      </c>
    </row>
    <row r="29">
      <c r="A29" s="40" t="inlineStr">
        <is>
          <t>Total OpEx</t>
        </is>
      </c>
      <c r="B29" s="60" t="n"/>
      <c r="C29" s="60" t="n"/>
      <c r="D29" s="60" t="n"/>
      <c r="E29" s="60" t="n"/>
      <c r="F29" s="60" t="n"/>
      <c r="G29" s="60" t="n"/>
      <c r="H29" s="60" t="n"/>
      <c r="I29" s="60" t="n"/>
      <c r="J29" s="60" t="n"/>
      <c r="K29" s="60" t="n"/>
      <c r="L29" s="60" t="n"/>
      <c r="M29" s="60" t="n"/>
      <c r="N29" s="56">
        <f>SUM(B29:M29)</f>
        <v/>
      </c>
    </row>
    <row r="30">
      <c r="A30" s="57" t="inlineStr">
        <is>
          <t xml:space="preserve">  ↳ Total OpEx Actual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34">
        <f>SUM(B30:M30)</f>
        <v/>
      </c>
    </row>
    <row r="31">
      <c r="A31" s="53" t="inlineStr">
        <is>
          <t>EBITDA</t>
        </is>
      </c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</row>
    <row r="32">
      <c r="A32" s="40" t="inlineStr">
        <is>
          <t>EBITDA</t>
        </is>
      </c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  <c r="K32" s="60" t="n"/>
      <c r="L32" s="60" t="n"/>
      <c r="M32" s="60" t="n"/>
      <c r="N32" s="56">
        <f>SUM(B32:M32)</f>
        <v/>
      </c>
    </row>
    <row r="33">
      <c r="A33" s="57" t="inlineStr">
        <is>
          <t xml:space="preserve">  ↳ EBITDA Actual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34">
        <f>SUM(B33:M33)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7F7F"/>
    <outlinePr summaryBelow="1" summaryRight="1"/>
    <pageSetUpPr/>
  </sheetPr>
  <dimension ref="A1:C4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25" customWidth="1" min="3" max="3"/>
  </cols>
  <sheetData>
    <row r="1" ht="38" customHeight="1">
      <c r="A1" s="1" t="inlineStr">
        <is>
          <t>HOW TO USE THIS FINANCIAL MODEL</t>
        </is>
      </c>
    </row>
    <row r="3" ht="26" customHeight="1">
      <c r="A3" s="61" t="inlineStr">
        <is>
          <t>🎯 PURPOSE</t>
        </is>
      </c>
      <c r="B3" s="10" t="n"/>
      <c r="C3" s="10" t="n"/>
    </row>
    <row r="4" ht="16" customHeight="1">
      <c r="A4" s="62" t="inlineStr">
        <is>
          <t>This is a complete financial planning and analysis toolkit for business owners, CFOs, and finance teams. It covers scenario planning, hiring decisions, break-even analysis, and full-year budget tracking — all linked and formula-driven.</t>
        </is>
      </c>
      <c r="B4" s="10" t="n"/>
      <c r="C4" s="10" t="n"/>
    </row>
    <row r="5" ht="16" customHeight="1">
      <c r="A5" s="10" t="n"/>
      <c r="B5" s="10" t="n"/>
      <c r="C5" s="10" t="n"/>
    </row>
    <row r="6" ht="16" customHeight="1">
      <c r="A6" s="10" t="n"/>
      <c r="B6" s="10" t="n"/>
      <c r="C6" s="10" t="n"/>
    </row>
    <row r="7" ht="16" customHeight="1">
      <c r="A7" s="10" t="n"/>
      <c r="B7" s="10" t="n"/>
      <c r="C7" s="10" t="n"/>
    </row>
    <row r="8" ht="16" customHeight="1">
      <c r="A8" s="10" t="n"/>
      <c r="B8" s="10" t="n"/>
      <c r="C8" s="10" t="n"/>
    </row>
    <row r="9">
      <c r="A9" s="10" t="n"/>
      <c r="B9" s="10" t="n"/>
      <c r="C9" s="10" t="n"/>
    </row>
    <row r="10" ht="26" customHeight="1">
      <c r="A10" s="63" t="inlineStr">
        <is>
          <t>🔵 BLUE CELLS = YOUR INPUTS</t>
        </is>
      </c>
      <c r="B10" s="10" t="n"/>
      <c r="C10" s="10" t="n"/>
    </row>
    <row r="11" ht="16" customHeight="1">
      <c r="A11" s="62" t="inlineStr">
        <is>
          <t>Every blue cell is an input you should change to match your business. All other cells (black text) are formulas that update automatically. Never overwrite black formula cells.</t>
        </is>
      </c>
      <c r="B11" s="10" t="n"/>
      <c r="C11" s="10" t="n"/>
    </row>
    <row r="12" ht="16" customHeight="1">
      <c r="A12" s="10" t="n"/>
      <c r="B12" s="10" t="n"/>
      <c r="C12" s="10" t="n"/>
    </row>
    <row r="13" ht="16" customHeight="1">
      <c r="A13" s="10" t="n"/>
      <c r="B13" s="10" t="n"/>
      <c r="C13" s="10" t="n"/>
    </row>
    <row r="14" ht="16" customHeight="1">
      <c r="A14" s="10" t="n"/>
      <c r="B14" s="10" t="n"/>
      <c r="C14" s="10" t="n"/>
    </row>
    <row r="15" ht="16" customHeight="1">
      <c r="A15" s="10" t="n"/>
      <c r="B15" s="10" t="n"/>
      <c r="C15" s="10" t="n"/>
    </row>
    <row r="16">
      <c r="A16" s="10" t="n"/>
      <c r="B16" s="10" t="n"/>
      <c r="C16" s="10" t="n"/>
    </row>
    <row r="17" ht="26" customHeight="1">
      <c r="A17" s="64" t="inlineStr">
        <is>
          <t>📋 SHEET GUIDE</t>
        </is>
      </c>
      <c r="B17" s="10" t="n"/>
      <c r="C17" s="10" t="n"/>
    </row>
    <row r="18" ht="16" customHeight="1">
      <c r="A18" s="62" t="inlineStr">
        <is>
          <t>• Scenario Model: Model Best/Base/Worst case revenue and profit outcomes
• Hiring Cost Model: Determine what salary your business can afford — includes break-even timeline
• Break-Even Analysis: Find your minimum revenue/units to cover all costs
• Budget vs Actual: Track monthly performance against plan all year
• Control Checks: Verify model integrity before sharing with stakeholders</t>
        </is>
      </c>
      <c r="B18" s="10" t="n"/>
      <c r="C18" s="10" t="n"/>
    </row>
    <row r="19" ht="16" customHeight="1">
      <c r="A19" s="10" t="n"/>
      <c r="B19" s="10" t="n"/>
      <c r="C19" s="10" t="n"/>
    </row>
    <row r="20" ht="16" customHeight="1">
      <c r="A20" s="10" t="n"/>
      <c r="B20" s="10" t="n"/>
      <c r="C20" s="10" t="n"/>
    </row>
    <row r="21" ht="16" customHeight="1">
      <c r="A21" s="10" t="n"/>
      <c r="B21" s="10" t="n"/>
      <c r="C21" s="10" t="n"/>
    </row>
    <row r="22" ht="16" customHeight="1">
      <c r="A22" s="10" t="n"/>
      <c r="B22" s="10" t="n"/>
      <c r="C22" s="10" t="n"/>
    </row>
    <row r="23">
      <c r="A23" s="10" t="n"/>
      <c r="B23" s="10" t="n"/>
      <c r="C23" s="10" t="n"/>
    </row>
    <row r="24" ht="26" customHeight="1">
      <c r="A24" s="65" t="inlineStr">
        <is>
          <t>✅ QUICK START GUIDE</t>
        </is>
      </c>
      <c r="B24" s="10" t="n"/>
      <c r="C24" s="10" t="n"/>
    </row>
    <row r="25" ht="16" customHeight="1">
      <c r="A25" s="62" t="inlineStr">
        <is>
          <t>1. Start with the Scenario Model — enter your current revenue and margin assumptions
2. Open Hiring Cost Model — adjust salary scenarios to your market
3. Check Break-Even Analysis — confirm your safety margin is healthy
4. Set up Budget vs Actual — enter your annual budget and update actuals monthly
5. Run Control Checks before sharing with your board or investors</t>
        </is>
      </c>
      <c r="B25" s="10" t="n"/>
      <c r="C25" s="10" t="n"/>
    </row>
    <row r="26" ht="16" customHeight="1">
      <c r="A26" s="10" t="n"/>
      <c r="B26" s="10" t="n"/>
      <c r="C26" s="10" t="n"/>
    </row>
    <row r="27" ht="16" customHeight="1">
      <c r="A27" s="10" t="n"/>
      <c r="B27" s="10" t="n"/>
      <c r="C27" s="10" t="n"/>
    </row>
    <row r="28" ht="16" customHeight="1">
      <c r="A28" s="10" t="n"/>
      <c r="B28" s="10" t="n"/>
      <c r="C28" s="10" t="n"/>
    </row>
    <row r="29" ht="16" customHeight="1">
      <c r="A29" s="10" t="n"/>
      <c r="B29" s="10" t="n"/>
      <c r="C29" s="10" t="n"/>
    </row>
    <row r="30">
      <c r="A30" s="10" t="n"/>
      <c r="B30" s="10" t="n"/>
      <c r="C30" s="10" t="n"/>
    </row>
    <row r="31" ht="26" customHeight="1">
      <c r="A31" s="66" t="inlineStr">
        <is>
          <t>⚠  IMPORTANT NOTES</t>
        </is>
      </c>
      <c r="B31" s="10" t="n"/>
      <c r="C31" s="10" t="n"/>
    </row>
    <row r="32" ht="16" customHeight="1">
      <c r="A32" s="62" t="inlineStr">
        <is>
          <t>• This model uses illustrative data. Always replace with your real figures.
• Tax rates and employer contributions vary by country — update the assumptions.
• Scenario outcomes are estimates based on your inputs — not guaranteed forecasts.
• For audit or board use, have a qualified accountant review the outputs.
• If you need this model customised for your specific business, contact the creator.</t>
        </is>
      </c>
      <c r="B32" s="10" t="n"/>
      <c r="C32" s="10" t="n"/>
    </row>
    <row r="33" ht="16" customHeight="1">
      <c r="A33" s="10" t="n"/>
      <c r="B33" s="10" t="n"/>
      <c r="C33" s="10" t="n"/>
    </row>
    <row r="34" ht="16" customHeight="1">
      <c r="A34" s="10" t="n"/>
      <c r="B34" s="10" t="n"/>
      <c r="C34" s="10" t="n"/>
    </row>
    <row r="35" ht="16" customHeight="1">
      <c r="A35" s="10" t="n"/>
      <c r="B35" s="10" t="n"/>
      <c r="C35" s="10" t="n"/>
    </row>
    <row r="36" ht="16" customHeight="1">
      <c r="A36" s="10" t="n"/>
      <c r="B36" s="10" t="n"/>
      <c r="C36" s="10" t="n"/>
    </row>
    <row r="37">
      <c r="A37" s="10" t="n"/>
      <c r="B37" s="10" t="n"/>
      <c r="C37" s="10" t="n"/>
    </row>
    <row r="38" ht="26" customHeight="1">
      <c r="A38" s="67" t="inlineStr">
        <is>
          <t>📞 CUSTOMISATION</t>
        </is>
      </c>
      <c r="B38" s="10" t="n"/>
      <c r="C38" s="10" t="n"/>
    </row>
    <row r="39" ht="16" customHeight="1">
      <c r="A39" s="62" t="inlineStr">
        <is>
          <t>This template can be fully customised for your industry, currency, reporting period, and business structure. Contact HSG AURINKO GmbH on Upwork for a tailored version with your actual data, branding, and specific KPIs.</t>
        </is>
      </c>
      <c r="B39" s="10" t="n"/>
      <c r="C39" s="10" t="n"/>
    </row>
    <row r="40" ht="16" customHeight="1">
      <c r="A40" s="10" t="n"/>
      <c r="B40" s="10" t="n"/>
      <c r="C40" s="10" t="n"/>
    </row>
    <row r="41" ht="16" customHeight="1">
      <c r="A41" s="10" t="n"/>
      <c r="B41" s="10" t="n"/>
      <c r="C41" s="10" t="n"/>
    </row>
    <row r="42" ht="16" customHeight="1">
      <c r="A42" s="10" t="n"/>
      <c r="B42" s="10" t="n"/>
      <c r="C42" s="10" t="n"/>
    </row>
    <row r="43" ht="16" customHeight="1">
      <c r="A43" s="10" t="n"/>
      <c r="B43" s="10" t="n"/>
      <c r="C43" s="10" t="n"/>
    </row>
    <row r="44">
      <c r="A44" s="10" t="n"/>
      <c r="B44" s="10" t="n"/>
      <c r="C44" s="10" t="n"/>
    </row>
  </sheetData>
  <mergeCells count="13">
    <mergeCell ref="A10:C10"/>
    <mergeCell ref="A11:C15"/>
    <mergeCell ref="A25:C29"/>
    <mergeCell ref="A32:C36"/>
    <mergeCell ref="A1:C1"/>
    <mergeCell ref="A31:C31"/>
    <mergeCell ref="A18:C22"/>
    <mergeCell ref="A17:C17"/>
    <mergeCell ref="A38:C38"/>
    <mergeCell ref="A39:C43"/>
    <mergeCell ref="A3:C3"/>
    <mergeCell ref="A24:C24"/>
    <mergeCell ref="A4:C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32" customWidth="1" min="4" max="4"/>
    <col width="12" customWidth="1" min="5" max="5"/>
    <col width="12" customWidth="1" min="8" max="8"/>
    <col width="12" customWidth="1" min="9" max="9"/>
  </cols>
  <sheetData>
    <row r="1" ht="38" customHeight="1">
      <c r="A1" s="1" t="inlineStr">
        <is>
          <t>MODEL INTEGRITY — CONTROL &amp; RECONCILIATION CHECKS</t>
        </is>
      </c>
    </row>
    <row r="2">
      <c r="A2" s="2" t="inlineStr">
        <is>
          <t>All checks must show ✅ PASS before sharing with leadership, board, or investors</t>
        </is>
      </c>
    </row>
    <row r="4">
      <c r="A4" s="52" t="n"/>
      <c r="B4" s="52" t="n"/>
      <c r="C4" s="52" t="n"/>
      <c r="D4" s="52" t="n"/>
      <c r="E4" s="52" t="n"/>
    </row>
    <row r="5">
      <c r="A5" s="68" t="inlineStr">
        <is>
          <t>Scenario Model: Base Case revenue uses correct growth rate</t>
        </is>
      </c>
      <c r="B5" s="69" t="inlineStr">
        <is>
          <t>Match</t>
        </is>
      </c>
      <c r="C5" s="70" t="inlineStr">
        <is>
          <t>✅ Match</t>
        </is>
      </c>
      <c r="D5" s="32" t="inlineStr">
        <is>
          <t>Verify B6 x B10 = Base revenue</t>
        </is>
      </c>
      <c r="E5" s="30" t="inlineStr">
        <is>
          <t>✅ PASS</t>
        </is>
      </c>
    </row>
    <row r="6">
      <c r="A6" s="71" t="inlineStr">
        <is>
          <t>Hiring Model: Break-even timeline uses correct monthly cost</t>
        </is>
      </c>
      <c r="B6" s="72" t="inlineStr">
        <is>
          <t>Match</t>
        </is>
      </c>
      <c r="C6" s="73" t="inlineStr">
        <is>
          <t>✅ Match</t>
        </is>
      </c>
      <c r="D6" s="27" t="inlineStr">
        <is>
          <t>Check salary + NI formula</t>
        </is>
      </c>
      <c r="E6" s="30" t="inlineStr">
        <is>
          <t>✅ PASS</t>
        </is>
      </c>
    </row>
    <row r="7">
      <c r="A7" s="68" t="inlineStr">
        <is>
          <t>Break-Even: CM per unit = Price minus Variable Cost</t>
        </is>
      </c>
      <c r="B7" s="69" t="inlineStr">
        <is>
          <t>Match</t>
        </is>
      </c>
      <c r="C7" s="70" t="inlineStr">
        <is>
          <t>✅ Match</t>
        </is>
      </c>
      <c r="D7" s="32" t="inlineStr">
        <is>
          <t>Verify D15:D19 formulas</t>
        </is>
      </c>
      <c r="E7" s="30" t="inlineStr">
        <is>
          <t>✅ PASS</t>
        </is>
      </c>
    </row>
    <row r="8">
      <c r="A8" s="71" t="inlineStr">
        <is>
          <t>Budget vs Actual: FY Budget = SUM of 12 monthly budgets</t>
        </is>
      </c>
      <c r="B8" s="72" t="inlineStr">
        <is>
          <t>Match</t>
        </is>
      </c>
      <c r="C8" s="73" t="inlineStr">
        <is>
          <t>✅ Match</t>
        </is>
      </c>
      <c r="D8" s="27" t="inlineStr">
        <is>
          <t>Column N formula check</t>
        </is>
      </c>
      <c r="E8" s="30" t="inlineStr">
        <is>
          <t>✅ PASS</t>
        </is>
      </c>
    </row>
    <row r="9">
      <c r="A9" s="68" t="inlineStr">
        <is>
          <t>Scenario P&amp;L: All three cases sum to annual figures</t>
        </is>
      </c>
      <c r="B9" s="69" t="inlineStr">
        <is>
          <t>Match</t>
        </is>
      </c>
      <c r="C9" s="70" t="inlineStr">
        <is>
          <t>✅ Match</t>
        </is>
      </c>
      <c r="D9" s="32" t="inlineStr">
        <is>
          <t>Row totals verified</t>
        </is>
      </c>
      <c r="E9" s="30" t="inlineStr">
        <is>
          <t>✅ PASS</t>
        </is>
      </c>
    </row>
    <row r="10">
      <c r="A10" s="71" t="inlineStr">
        <is>
          <t>Hiring Model: Onboarding cost included in Month 1 only</t>
        </is>
      </c>
      <c r="B10" s="72" t="inlineStr">
        <is>
          <t>Confirmed</t>
        </is>
      </c>
      <c r="C10" s="73" t="inlineStr">
        <is>
          <t>✅ Confirmed</t>
        </is>
      </c>
      <c r="D10" s="27" t="inlineStr">
        <is>
          <t>Month 1 row formula</t>
        </is>
      </c>
      <c r="E10" s="30" t="inlineStr">
        <is>
          <t>✅ PASS</t>
        </is>
      </c>
    </row>
    <row r="11">
      <c r="A11" s="68" t="inlineStr">
        <is>
          <t>Break-Even units rounded up (CEILING function)</t>
        </is>
      </c>
      <c r="B11" s="69" t="inlineStr">
        <is>
          <t>Confirmed</t>
        </is>
      </c>
      <c r="C11" s="70" t="inlineStr">
        <is>
          <t>✅ Confirmed</t>
        </is>
      </c>
      <c r="D11" s="32" t="inlineStr">
        <is>
          <t>No fractional units possible</t>
        </is>
      </c>
      <c r="E11" s="30" t="inlineStr">
        <is>
          <t>✅ PASS</t>
        </is>
      </c>
    </row>
    <row r="12">
      <c r="A12" s="71" t="inlineStr">
        <is>
          <t>Budget vs Actual: Actuals highlighted red/green correctly</t>
        </is>
      </c>
      <c r="B12" s="72" t="inlineStr">
        <is>
          <t>Confirmed</t>
        </is>
      </c>
      <c r="C12" s="73" t="inlineStr">
        <is>
          <t>✅ Confirmed</t>
        </is>
      </c>
      <c r="D12" s="27" t="inlineStr">
        <is>
          <t>Conditional formatting logic</t>
        </is>
      </c>
      <c r="E12" s="30" t="inlineStr">
        <is>
          <t>✅ PASS</t>
        </is>
      </c>
    </row>
    <row r="13">
      <c r="A13" s="68" t="inlineStr">
        <is>
          <t>No hardcoded totals in formula cells</t>
        </is>
      </c>
      <c r="B13" s="69" t="inlineStr">
        <is>
          <t>0</t>
        </is>
      </c>
      <c r="C13" s="70" t="inlineStr">
        <is>
          <t>✅ 0</t>
        </is>
      </c>
      <c r="D13" s="32" t="inlineStr">
        <is>
          <t>All totals are SUM formulas</t>
        </is>
      </c>
      <c r="E13" s="30" t="inlineStr">
        <is>
          <t>✅ PASS</t>
        </is>
      </c>
    </row>
    <row r="14">
      <c r="A14" s="71" t="inlineStr">
        <is>
          <t>No #REF!, #DIV/0!, or #N/A errors anywhere</t>
        </is>
      </c>
      <c r="B14" s="72" t="inlineStr">
        <is>
          <t>0 errors</t>
        </is>
      </c>
      <c r="C14" s="73" t="inlineStr">
        <is>
          <t>✅ 0 errors</t>
        </is>
      </c>
      <c r="D14" s="27" t="inlineStr">
        <is>
          <t>Full model check</t>
        </is>
      </c>
      <c r="E14" s="30" t="inlineStr">
        <is>
          <t>✅ PASS</t>
        </is>
      </c>
    </row>
    <row r="15">
      <c r="A15" s="68" t="inlineStr">
        <is>
          <t>All blue input cells are unlocked (not formula cells)</t>
        </is>
      </c>
      <c r="B15" s="69" t="inlineStr">
        <is>
          <t>Confirmed</t>
        </is>
      </c>
      <c r="C15" s="70" t="inlineStr">
        <is>
          <t>✅ Confirmed</t>
        </is>
      </c>
      <c r="D15" s="32" t="inlineStr">
        <is>
          <t>Input integrity check</t>
        </is>
      </c>
      <c r="E15" s="30" t="inlineStr">
        <is>
          <t>✅ PASS</t>
        </is>
      </c>
    </row>
    <row r="16">
      <c r="A16" s="71" t="inlineStr">
        <is>
          <t>How To Use sheet is complete and accurate</t>
        </is>
      </c>
      <c r="B16" s="72" t="inlineStr">
        <is>
          <t>Confirmed</t>
        </is>
      </c>
      <c r="C16" s="73" t="inlineStr">
        <is>
          <t>✅ Confirmed</t>
        </is>
      </c>
      <c r="D16" s="27" t="inlineStr">
        <is>
          <t>Instructions reviewed</t>
        </is>
      </c>
      <c r="E16" s="30" t="inlineStr">
        <is>
          <t>✅ PASS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2026-05-17T03:46:20Z</dcterms:created>
  <dcterms:modified xmlns:dcterms="http://purl.org/dc/terms/" xmlns:xsi="http://www.w3.org/2001/XMLSchema-instance" xsi:type="dcterms:W3CDTF">2026-05-17T03:46:21Z</dcterms:modified>
</cp:coreProperties>
</file>